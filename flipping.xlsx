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pping" sheetId="1" r:id="rId5"/>
    <sheet state="visible" name="Wohnung" sheetId="2" r:id="rId6"/>
    <sheet state="visible" name="Computer" sheetId="3" r:id="rId7"/>
    <sheet state="visible" name="Motorrad" sheetId="4" r:id="rId8"/>
    <sheet state="visible" name="Drohne" sheetId="5" r:id="rId9"/>
    <sheet state="visible" name="Snowboard" sheetId="6" r:id="rId10"/>
  </sheets>
  <definedNames/>
  <calcPr/>
</workbook>
</file>

<file path=xl/sharedStrings.xml><?xml version="1.0" encoding="utf-8"?>
<sst xmlns="http://schemas.openxmlformats.org/spreadsheetml/2006/main" count="440" uniqueCount="385">
  <si>
    <t>Kauf</t>
  </si>
  <si>
    <t>Verkauf</t>
  </si>
  <si>
    <t>Gewinn</t>
  </si>
  <si>
    <t>Gameboy Set</t>
  </si>
  <si>
    <t>Gameboy Color + 4 games</t>
  </si>
  <si>
    <t>Gameboy Classic</t>
  </si>
  <si>
    <t>Gameboy Box</t>
  </si>
  <si>
    <t xml:space="preserve"> </t>
  </si>
  <si>
    <t>Addon Six</t>
  </si>
  <si>
    <t>T150</t>
  </si>
  <si>
    <t>Switch + 3 games</t>
  </si>
  <si>
    <t>Pokemon</t>
  </si>
  <si>
    <t>Smash Bros</t>
  </si>
  <si>
    <t>Switch Tasche</t>
  </si>
  <si>
    <t>Switch CFW</t>
  </si>
  <si>
    <t>Canon 700D</t>
  </si>
  <si>
    <t>Tripod</t>
  </si>
  <si>
    <t>Sigma 28-300mm lens</t>
  </si>
  <si>
    <t>(Broken) Switch</t>
  </si>
  <si>
    <t>3 Switch games</t>
  </si>
  <si>
    <t>MarioKart 8</t>
  </si>
  <si>
    <t>Starlink</t>
  </si>
  <si>
    <t>Pokemon Eevee</t>
  </si>
  <si>
    <t>Switch + 7 games</t>
  </si>
  <si>
    <t>Fifa 21</t>
  </si>
  <si>
    <t>Zelda BOTW</t>
  </si>
  <si>
    <t>Pokemon Shield</t>
  </si>
  <si>
    <t>Mario Maker 2</t>
  </si>
  <si>
    <t>Animal Crossing</t>
  </si>
  <si>
    <t xml:space="preserve">Family Trainer </t>
  </si>
  <si>
    <t>Mario Kart 8</t>
  </si>
  <si>
    <t>Switch console</t>
  </si>
  <si>
    <t>Sony RX100II</t>
  </si>
  <si>
    <t>T300RS + Wheelstand Pro</t>
  </si>
  <si>
    <t>Canon G9X</t>
  </si>
  <si>
    <t>Thrustmaster TMX + LP3PA</t>
  </si>
  <si>
    <t>Canon 80D</t>
  </si>
  <si>
    <t>Canon 50mm 1.4 USM</t>
  </si>
  <si>
    <t>Canon 24mm 2.8 Pancake</t>
  </si>
  <si>
    <t>Xiaomi Smart Mi Scooter Pro 2</t>
  </si>
  <si>
    <t>Canon 650D + G7XII set</t>
  </si>
  <si>
    <t>G7XII</t>
  </si>
  <si>
    <t>Canon 650D + 18-55mm Kit lens</t>
  </si>
  <si>
    <t>70-300mm Sigma lens</t>
  </si>
  <si>
    <t>Canon 5D Mark II + 50mm 1.4</t>
  </si>
  <si>
    <t>Canon 5D Mark II camera (SC 101000)</t>
  </si>
  <si>
    <t>Canon 50mm 1.4 USM lens</t>
  </si>
  <si>
    <t>Replacement parts order</t>
  </si>
  <si>
    <t>Canon 1000D + 3 lenses + bag</t>
  </si>
  <si>
    <t>Canon 1000D camera</t>
  </si>
  <si>
    <t xml:space="preserve">18-55mm IS </t>
  </si>
  <si>
    <t>50mm 1.8</t>
  </si>
  <si>
    <t>75-300mm USM</t>
  </si>
  <si>
    <t>JBL Xtreme</t>
  </si>
  <si>
    <t>Garmin Zumo 350LM</t>
  </si>
  <si>
    <t>Canon 5D MKII (SC 160000)</t>
  </si>
  <si>
    <t>GoPro 8 Hero Black</t>
  </si>
  <si>
    <t>DJI Osmo Action</t>
  </si>
  <si>
    <t>Marshall Stanmore</t>
  </si>
  <si>
    <t>GoPro Hero 7 Black</t>
  </si>
  <si>
    <t xml:space="preserve">Nintendo Switch </t>
  </si>
  <si>
    <t>Ringfit Adventure</t>
  </si>
  <si>
    <t>Nintendo Switch with broken LCD</t>
  </si>
  <si>
    <t>JoyCons</t>
  </si>
  <si>
    <t>Nintendo Switch OLED</t>
  </si>
  <si>
    <t>Diablo III game</t>
  </si>
  <si>
    <t xml:space="preserve">Canon 17-40mm </t>
  </si>
  <si>
    <t>Canon 30D</t>
  </si>
  <si>
    <t>GoPro Hero 5 + 2 Akkus</t>
  </si>
  <si>
    <t>Canon 600D Kit</t>
  </si>
  <si>
    <t>GoPro Hero 7 White</t>
  </si>
  <si>
    <t>Eureka Atom 60</t>
  </si>
  <si>
    <t>Boss The Scent</t>
  </si>
  <si>
    <t>Yves Saint Laurent L'Homme Ultime + Lalique Encre Noire Sport</t>
  </si>
  <si>
    <t>Rasasi Daarej + Zadig &amp; Voltaire This is Him</t>
  </si>
  <si>
    <t xml:space="preserve">Stronger with you </t>
  </si>
  <si>
    <t>Prada L'homme</t>
  </si>
  <si>
    <t>Invictus + Joop Wow</t>
  </si>
  <si>
    <t>Valentino Uomo + Givenchy Gentleman + YSL LNDL</t>
  </si>
  <si>
    <t>GoPro Hero 8</t>
  </si>
  <si>
    <t>Osmo Pocket</t>
  </si>
  <si>
    <t>Spacelite -1</t>
  </si>
  <si>
    <t>Walking Pad</t>
  </si>
  <si>
    <t>FjällRäven Zelt</t>
  </si>
  <si>
    <t>Camping Kochset</t>
  </si>
  <si>
    <t>2x Deeplee mat</t>
  </si>
  <si>
    <t xml:space="preserve">Insera Nyx MTB </t>
  </si>
  <si>
    <t>Yamaha Keyboard</t>
  </si>
  <si>
    <t>PS4 + 2 controller + games</t>
  </si>
  <si>
    <t>Mathmos Lavalampe</t>
  </si>
  <si>
    <t>Yamaha ypp-55</t>
  </si>
  <si>
    <t>GoPro 11</t>
  </si>
  <si>
    <t>GoPro Media mod</t>
  </si>
  <si>
    <t>GoPro Clip</t>
  </si>
  <si>
    <t xml:space="preserve">Salewa Mynos </t>
  </si>
  <si>
    <t>Exped Ultra 0</t>
  </si>
  <si>
    <t>Exped Ultra 3R</t>
  </si>
  <si>
    <t>Exped Ultra 3R LW</t>
  </si>
  <si>
    <t>ThermARest Compressible Pillow Cinch</t>
  </si>
  <si>
    <t>Terra Nova Southern Cross 1 tent</t>
  </si>
  <si>
    <t>INIU Power Bank</t>
  </si>
  <si>
    <t>Sofirn LT1S</t>
  </si>
  <si>
    <t>Flextailgear Pump Mini</t>
  </si>
  <si>
    <t>Titanium Garden Hand Serrated Shovel</t>
  </si>
  <si>
    <t>Nemo Aurora 3P</t>
  </si>
  <si>
    <t>Deuter Futura Air Trek 50+ 10</t>
  </si>
  <si>
    <t>Deuter Futura Air Trek 45 + 10 SL</t>
  </si>
  <si>
    <t>SOTO WindMaster</t>
  </si>
  <si>
    <t>Kindle Paperwhite</t>
  </si>
  <si>
    <t>Lowe Alpine Escape Trek ND 50:60L</t>
  </si>
  <si>
    <t xml:space="preserve">Asics Sonoma 6 </t>
  </si>
  <si>
    <t xml:space="preserve">Leaf Shave </t>
  </si>
  <si>
    <t>Buff Merino</t>
  </si>
  <si>
    <t>Afnan Turathi Blue Homme</t>
  </si>
  <si>
    <t>Helsport Fonnfjell Superlight 2 tent</t>
  </si>
  <si>
    <t>Helsport Fonnfjell Superlight 2 footprint</t>
  </si>
  <si>
    <t>Therm-a-Rest Universal Couple Kit - Mattenverbinder</t>
  </si>
  <si>
    <t>REAPP Bremsscheibenschloss Motorrad Schloss</t>
  </si>
  <si>
    <t>G4Free Ultraleicht Klappstühle</t>
  </si>
  <si>
    <t>Therm-a-Rest Cinch Komprimierbares Kissen</t>
  </si>
  <si>
    <t>Adilette Aqua</t>
  </si>
  <si>
    <t>UGREEN Nexode 65W USB C Ladegerät</t>
  </si>
  <si>
    <t>Fujifilm X100S</t>
  </si>
  <si>
    <t>Ricoh GR II</t>
  </si>
  <si>
    <t>Casio CDP 130 piano</t>
  </si>
  <si>
    <t>GoPro Hero 10 Black</t>
  </si>
  <si>
    <t>Insta 360 X2 camera</t>
  </si>
  <si>
    <t>Canon 90D + 18 -135mm lens</t>
  </si>
  <si>
    <t>Numark NV ii</t>
  </si>
  <si>
    <t>Pioneer DDJ400</t>
  </si>
  <si>
    <t>Venu 2</t>
  </si>
  <si>
    <t>Scanwatch</t>
  </si>
  <si>
    <t>DJI Mavic Mini 2</t>
  </si>
  <si>
    <t>Sony A6000 set</t>
  </si>
  <si>
    <t>Sony 18-105 F4</t>
  </si>
  <si>
    <t xml:space="preserve">Sony 55-210mm </t>
  </si>
  <si>
    <t>Sony 50mm</t>
  </si>
  <si>
    <t>Sigma 30mm</t>
  </si>
  <si>
    <t>Kona Rove DL 52</t>
  </si>
  <si>
    <t>Herbst 2024</t>
  </si>
  <si>
    <t>Canon G1XIII + Unterwassergehäuse</t>
  </si>
  <si>
    <t>DJI Air 2s</t>
  </si>
  <si>
    <t>+3 Akkus'</t>
  </si>
  <si>
    <t>Ricoh GR III</t>
  </si>
  <si>
    <t>DJI Pocket 3</t>
  </si>
  <si>
    <t>Olympus E-M1 II + 12-40mm 2.8 Pro</t>
  </si>
  <si>
    <t>Meike 50mm F0.95</t>
  </si>
  <si>
    <t>Olympus 40-150mm F2.8 Pro</t>
  </si>
  <si>
    <t>Camera gear:</t>
  </si>
  <si>
    <t xml:space="preserve">Olympus 12-100m F4 IS </t>
  </si>
  <si>
    <t>Lowepro Fastpack BP 250 AW II</t>
  </si>
  <si>
    <t>Sigma 16mm 1.4 DN</t>
  </si>
  <si>
    <t>2025:</t>
  </si>
  <si>
    <t>MSI Claw</t>
  </si>
  <si>
    <t>Nintendo Switch Set</t>
  </si>
  <si>
    <t>RingFit Adventure</t>
  </si>
  <si>
    <t>Mario 3D World + Bowsers Fury</t>
  </si>
  <si>
    <t>Switch Sports</t>
  </si>
  <si>
    <t>Pro Controller</t>
  </si>
  <si>
    <t>Mario Odyssey</t>
  </si>
  <si>
    <t>Hori Split Pad</t>
  </si>
  <si>
    <t>AYN Odin 2 Portal + Case + Grip + Buttons</t>
  </si>
  <si>
    <t>XReal One</t>
  </si>
  <si>
    <t>Sony Vinyl Player</t>
  </si>
  <si>
    <t>Jotex LJUNGHUSEN Tisch</t>
  </si>
  <si>
    <t>https://www.jotex.fi/ljunghusen/ljunghusen-sohvapoyta-o-89-cm/1538357-01</t>
  </si>
  <si>
    <t>Ikea Hemnes Kommode Schlafzimmer</t>
  </si>
  <si>
    <t>Ikea Spiegel rund Schlafzimmer</t>
  </si>
  <si>
    <t>Componibili</t>
  </si>
  <si>
    <t xml:space="preserve">
Mushroom Flower Lamps Gelb</t>
  </si>
  <si>
    <t>Soulages Poster</t>
  </si>
  <si>
    <t>Mushroom lamp orange</t>
  </si>
  <si>
    <t>Poster orange</t>
  </si>
  <si>
    <t>Pendeluhr</t>
  </si>
  <si>
    <t>Nice butt poster</t>
  </si>
  <si>
    <t>Bauhaus poster</t>
  </si>
  <si>
    <t>Matisse Poster</t>
  </si>
  <si>
    <t>Mushroom table lamp gelb</t>
  </si>
  <si>
    <t>Sideboard</t>
  </si>
  <si>
    <t>50 from Julia</t>
  </si>
  <si>
    <t xml:space="preserve">Dyson Ständer </t>
  </si>
  <si>
    <t>Spiegel Rund</t>
  </si>
  <si>
    <t>Summe</t>
  </si>
  <si>
    <t>Computer Kosten</t>
  </si>
  <si>
    <t>HDD</t>
  </si>
  <si>
    <t>Samsung MZ-V7E1T0BW 970 EVO 1 TB</t>
  </si>
  <si>
    <t>RAM</t>
  </si>
  <si>
    <t>Corsair Vengeance RGB PRO DDR4 4x 8GB</t>
  </si>
  <si>
    <t>Case</t>
  </si>
  <si>
    <t>NZXT H510 Elite</t>
  </si>
  <si>
    <t>Case Fan 1</t>
  </si>
  <si>
    <t>NZXT AER RGB 2 - 140 mm</t>
  </si>
  <si>
    <t>Case Fan 2</t>
  </si>
  <si>
    <t>NZXT Aer RGB 2 - 120mm Single</t>
  </si>
  <si>
    <t>CPU Cooler</t>
  </si>
  <si>
    <t>NZXT Kraken Z63 (280 mm)</t>
  </si>
  <si>
    <t>Mainboard</t>
  </si>
  <si>
    <t>ASRock B550 Steel Legend</t>
  </si>
  <si>
    <t>Power supply</t>
  </si>
  <si>
    <t>Enermax Revolution D.F. 650W</t>
  </si>
  <si>
    <t>Wifi Card</t>
  </si>
  <si>
    <t>Wi-Fi 6 Desktop Kit Intel AX200</t>
  </si>
  <si>
    <t>CPU</t>
  </si>
  <si>
    <t>Ryzen 5600X CPU</t>
  </si>
  <si>
    <t>Cable</t>
  </si>
  <si>
    <t>Displayport Kabel</t>
  </si>
  <si>
    <t>GPU</t>
  </si>
  <si>
    <t>HP 3060 Ti</t>
  </si>
  <si>
    <t>RTX 4080</t>
  </si>
  <si>
    <t>€</t>
  </si>
  <si>
    <t>Mining Kosten</t>
  </si>
  <si>
    <t>6x Riser</t>
  </si>
  <si>
    <t>BEYIMEI PCI-E1x zu16x GPU Extender Riser Karte</t>
  </si>
  <si>
    <t>3x PCI-E 6+2 Kabel</t>
  </si>
  <si>
    <t>Corsair Type 4 Sleeved PCIe 6+2</t>
  </si>
  <si>
    <t>PCI-E X1 to 4 PCI-E X1 PCI card</t>
  </si>
  <si>
    <t>PCI-E X1 to 4 PCI-E X1 Slots, PCI Express Multiplier Riser Card</t>
  </si>
  <si>
    <t xml:space="preserve">USB cable </t>
  </si>
  <si>
    <t>3m USB 3.0 cable</t>
  </si>
  <si>
    <t>RIG</t>
  </si>
  <si>
    <t>Holz + Schrauben</t>
  </si>
  <si>
    <t>Fan Controller</t>
  </si>
  <si>
    <t xml:space="preserve">Phanteks </t>
  </si>
  <si>
    <t>Verkäufe</t>
  </si>
  <si>
    <t>Used GTX 1080</t>
  </si>
  <si>
    <t>Broken Vega 56</t>
  </si>
  <si>
    <t>GPU 4</t>
  </si>
  <si>
    <t>MSI OEM GeForce 1060 6GB</t>
  </si>
  <si>
    <t>GPU 3</t>
  </si>
  <si>
    <t>PNY GeForce 1060 6GB</t>
  </si>
  <si>
    <t>GTX 1660 Super</t>
  </si>
  <si>
    <t>GPU 2</t>
  </si>
  <si>
    <t>Gigabyte RX5700XT</t>
  </si>
  <si>
    <t>MSI 3080</t>
  </si>
  <si>
    <t>MSI OEM GeForce 1660 Ti</t>
  </si>
  <si>
    <t>GPU 6</t>
  </si>
  <si>
    <t xml:space="preserve">Sapphire Pulse Vega 56 </t>
  </si>
  <si>
    <t>GPU 5</t>
  </si>
  <si>
    <t>Sapphire Nitro+ RX5700XT</t>
  </si>
  <si>
    <t>GPU 1</t>
  </si>
  <si>
    <t>RX580</t>
  </si>
  <si>
    <t xml:space="preserve">PSU </t>
  </si>
  <si>
    <t>Corsair RM750x</t>
  </si>
  <si>
    <t>Motorrad</t>
  </si>
  <si>
    <t>Handschuhe</t>
  </si>
  <si>
    <t>Jacke + Hose</t>
  </si>
  <si>
    <t>Schuhe</t>
  </si>
  <si>
    <t>Shoei Helm</t>
  </si>
  <si>
    <t>Jacke + Hose Julia</t>
  </si>
  <si>
    <t>Handschuhe Julia</t>
  </si>
  <si>
    <t>Schuhe Julia</t>
  </si>
  <si>
    <t>Fahrschule (inkl. 5 Fahrstunden)</t>
  </si>
  <si>
    <t>Ajovarma (License + Test)</t>
  </si>
  <si>
    <t>Ajovarma (Handling Test + Driving)</t>
  </si>
  <si>
    <t>Fahrstunde</t>
  </si>
  <si>
    <t xml:space="preserve">Himalayan </t>
  </si>
  <si>
    <t>Muc-Off Nano Tech 1L Motorradreiniger</t>
  </si>
  <si>
    <t>Kettenausrichtungswerkzeug</t>
  </si>
  <si>
    <t>5m Fahrzeugleitung</t>
  </si>
  <si>
    <t>Exklusiv Chemie Bremsflüssigkeit DOT-4 1000ml</t>
  </si>
  <si>
    <t>Kriogor 12V USB Steckdose</t>
  </si>
  <si>
    <t xml:space="preserve">Kettenöler </t>
  </si>
  <si>
    <t>Bremsen-Anti-Quietsch-Paste</t>
  </si>
  <si>
    <t>Bremsenentlüftungsventil</t>
  </si>
  <si>
    <t>JENOLITE- Rostumwandler</t>
  </si>
  <si>
    <t>OBD adapter Adapterkabel</t>
  </si>
  <si>
    <t>Veepeak Mini Bluetooth OBD II Scanner</t>
  </si>
  <si>
    <t>Bremsscheibenschloss</t>
  </si>
  <si>
    <t>BRISK Tuning Premium Sparkplug</t>
  </si>
  <si>
    <t>Bremsbeläge EBC FA213HH</t>
  </si>
  <si>
    <t>D.I.D KETTENSATZ 525VX 16 Zähne</t>
  </si>
  <si>
    <t>Valve adjustment toolkit V2</t>
  </si>
  <si>
    <t>Rider Footrest Pedal RE Himalayan</t>
  </si>
  <si>
    <t>Versand</t>
  </si>
  <si>
    <t>Royal Enfield Rear Rack Plate Mild Steel For Himalayan</t>
  </si>
  <si>
    <t>GPS Mobile Phone Stand Mount Bracket + Screws</t>
  </si>
  <si>
    <t>RAM Mount</t>
  </si>
  <si>
    <t>EBC FA-HH Series FA181HH Sintered Brake Pads Black One</t>
  </si>
  <si>
    <t>12V Motorcycle License Plate LED light</t>
  </si>
  <si>
    <t>RE Sticker</t>
  </si>
  <si>
    <t>Torque Pro App</t>
  </si>
  <si>
    <t>CTEK MXS 5.0 battery charger</t>
  </si>
  <si>
    <t>Heidenau 120/90 - 17 64T K60 SCOUT M+S R</t>
  </si>
  <si>
    <t>Heidenau 90/90 - 21 54T K60 SCOUT M+S F</t>
  </si>
  <si>
    <t>Schlauch 21D CROSS 3mm</t>
  </si>
  <si>
    <t>Schlauch Heidenau 17F 34G</t>
  </si>
  <si>
    <t>Givi XS308 Tankrucksack</t>
  </si>
  <si>
    <t>Werkstatt</t>
  </si>
  <si>
    <t>DNA Luftfilter Kit</t>
  </si>
  <si>
    <t>Rok Straps</t>
  </si>
  <si>
    <t>Crash guard bags</t>
  </si>
  <si>
    <t>Givi metal plate</t>
  </si>
  <si>
    <t xml:space="preserve">Givi adapter ring </t>
  </si>
  <si>
    <t>RAM gummi</t>
  </si>
  <si>
    <t>RAM Schatten</t>
  </si>
  <si>
    <t>Spiegelerweiterung</t>
  </si>
  <si>
    <t>RAM Arm</t>
  </si>
  <si>
    <t>Sticker Taschen</t>
  </si>
  <si>
    <t>Plug parts</t>
  </si>
  <si>
    <t>cable lubricator</t>
  </si>
  <si>
    <t>GPS holder</t>
  </si>
  <si>
    <t>Batterie</t>
  </si>
  <si>
    <t>1L Öl</t>
  </si>
  <si>
    <t>Fell</t>
  </si>
  <si>
    <t>Sonnenschutz</t>
  </si>
  <si>
    <t>C Wrench</t>
  </si>
  <si>
    <t>Lenkkopflager 2x</t>
  </si>
  <si>
    <t>Gaszug</t>
  </si>
  <si>
    <t>Lenkkopflager Dichtung unten</t>
  </si>
  <si>
    <t>Lenkkopflager Dichtung oben</t>
  </si>
  <si>
    <t>Blinker</t>
  </si>
  <si>
    <t>Lenker</t>
  </si>
  <si>
    <t>Gummipuffer Hinterrad</t>
  </si>
  <si>
    <t>Radiomaster Boxer</t>
  </si>
  <si>
    <t>Operator registration bis zum 23.8.2024</t>
  </si>
  <si>
    <t>Ali Selbstbau</t>
  </si>
  <si>
    <t>Frame</t>
  </si>
  <si>
    <t>Cinelog35 V2 HD O3</t>
  </si>
  <si>
    <t>GEPRC GEP-CL35 V2 Drone Frame KIT</t>
  </si>
  <si>
    <t>€78.07</t>
  </si>
  <si>
    <t>FC</t>
  </si>
  <si>
    <t>GEP-F722-45A AIO V2</t>
  </si>
  <si>
    <t xml:space="preserve">
Axisflying Argus F7 AIO 40A FC F722</t>
  </si>
  <si>
    <t>ESC</t>
  </si>
  <si>
    <t>AIO</t>
  </si>
  <si>
    <t>Motors</t>
  </si>
  <si>
    <t>SPEEDX2 2105.5-2650KV</t>
  </si>
  <si>
    <t>x4</t>
  </si>
  <si>
    <t>RCINPower GTS V3 2105 plus 1850KV</t>
  </si>
  <si>
    <t>VTX</t>
  </si>
  <si>
    <t>O3 Air Unit</t>
  </si>
  <si>
    <t>GPS</t>
  </si>
  <si>
    <t>GEP-M8U</t>
  </si>
  <si>
    <t>Props</t>
  </si>
  <si>
    <t>HQProp DT90MMX3</t>
  </si>
  <si>
    <t>x2</t>
  </si>
  <si>
    <t>incl.</t>
  </si>
  <si>
    <t>RX</t>
  </si>
  <si>
    <t>GEPRC ELRS 2.4G</t>
  </si>
  <si>
    <t>BNF $586.99</t>
  </si>
  <si>
    <t>€523.07</t>
  </si>
  <si>
    <t>481.20</t>
  </si>
  <si>
    <t xml:space="preserve"> + €156 Import</t>
  </si>
  <si>
    <t xml:space="preserve"> + €143.53 Import</t>
  </si>
  <si>
    <t>€677.95</t>
  </si>
  <si>
    <t>€624.73</t>
  </si>
  <si>
    <t>Snowboard</t>
  </si>
  <si>
    <t>Boots</t>
  </si>
  <si>
    <t>Planet Sports</t>
  </si>
  <si>
    <t>DC Transition Snowboard Jacket black M</t>
  </si>
  <si>
    <t>Etnies Marana Skate Shoes black/dark grey/gum 42</t>
  </si>
  <si>
    <t>Bern Brighton Snowboard helmets satin metallic storm M</t>
  </si>
  <si>
    <t>Sandqvist Roald Backpack multi olive / beige with natural lthr One Size</t>
  </si>
  <si>
    <t>Sandqvist Stig Backpack black with natural leather One Size</t>
  </si>
  <si>
    <t>Adidas Originals Stan Smith Sneaker Low white - green 38</t>
  </si>
  <si>
    <t>Adidas Originals Stan Smith Sneaker Low white - green 36</t>
  </si>
  <si>
    <t>Adidas Originals Stan Smith Sneaker Low white - pink 38</t>
  </si>
  <si>
    <t>Adidas Originals Stan Smith Sneaker Low white - pink 36</t>
  </si>
  <si>
    <t>Smith Scout Snowboard helmets matte cloudgrey S</t>
  </si>
  <si>
    <t>Bern Macon 2.0 Thin Shell Snowboard helmets mint S</t>
  </si>
  <si>
    <t>Bern Watts Snowboard helmets grey S</t>
  </si>
  <si>
    <t>DC Dryden Hoodie black M</t>
  </si>
  <si>
    <t>Volcom Averted Visions Jacket black M</t>
  </si>
  <si>
    <t>Uvex 500 Visor Snowboard helmets cobalt white mat S</t>
  </si>
  <si>
    <t>Helly Hansen P&amp;C Quilted Jacket black L</t>
  </si>
  <si>
    <t>Helly Hansen Active Puffy Long Jacket navy M</t>
  </si>
  <si>
    <t>Eivy Icecold Tights Base Layer Bottoms multicolor XS</t>
  </si>
  <si>
    <t>Nitro Monarch TLS All Mountain Snowboard Boots black 38</t>
  </si>
  <si>
    <t>Volcom Radar Hood black check</t>
  </si>
  <si>
    <t>K2 Snowboarding Bottle Rocket 156 cm Snowboard</t>
  </si>
  <si>
    <t>DC Biddy 152Cm Snowboard</t>
  </si>
  <si>
    <t>Panama Jack 03 leather boots</t>
  </si>
  <si>
    <t>Nitro Anthem All Mountain Snowboard Boots black-wht-red-blue M</t>
  </si>
  <si>
    <t>Sandqvist Roald Backpack olive One Size</t>
  </si>
  <si>
    <t>Sandqvist Roald Backpack black One Size</t>
  </si>
  <si>
    <t>TSG Professional Snowboard protectors black L</t>
  </si>
  <si>
    <t>Volcom Mini Stone Stomps Snowboard Tuning multi One Size</t>
  </si>
  <si>
    <t>Adidas Originals Tubular Shadow Sneaker Low core black/aero pink /off white 36 2/3</t>
  </si>
  <si>
    <t>Element Section 8.25" Skateboard Deck</t>
  </si>
  <si>
    <t>Inpeddo It's a Crime, Deck - 8.0" Skateboard Decks</t>
  </si>
  <si>
    <t>DC Sanctioned Long socks woodland camo castlerock 41-45</t>
  </si>
  <si>
    <t>TSG Arctic Nipper Maxi Graphic Snowboard helmets brown XS</t>
  </si>
  <si>
    <t>Nike Skateboarding Zoom Stefan Janoski Skate Shoes black/black 36</t>
  </si>
  <si>
    <t>Dakine Packable Rolltop Dry Pack 30L Backpack</t>
  </si>
  <si>
    <t>Netto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</si>
</sst>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€-1]"/>
    <numFmt numFmtId="165" formatCode="mmmm yyyy"/>
    <numFmt numFmtId="166" formatCode="[$$]#,##0.00"/>
  </numFmts>
  <fonts count="4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sz val="12.0"/>
      <color rgb="FF6AA84F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sz val="14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2.0"/>
      <color rgb="FF6AA84F"/>
      <name val="Arial"/>
    </font>
    <font>
      <sz val="10.0"/>
      <color theme="1"/>
      <name val="Arial"/>
      <scheme val="minor"/>
    </font>
    <font>
      <b/>
      <sz val="10.0"/>
      <color rgb="FF6AA84F"/>
      <name val="Arial"/>
      <scheme val="minor"/>
    </font>
    <font>
      <b/>
      <sz val="9.0"/>
      <color rgb="FF000000"/>
      <name val="&quot;Google Sans Mono&quot;"/>
    </font>
    <font>
      <u/>
      <color rgb="FF0000FF"/>
    </font>
    <font>
      <u/>
      <sz val="10.0"/>
      <color rgb="FF4A86E8"/>
      <name val="Arial"/>
      <scheme val="minor"/>
    </font>
    <font>
      <u/>
      <sz val="10.0"/>
      <color rgb="FF4A86E8"/>
    </font>
    <font>
      <u/>
      <sz val="10.0"/>
      <color rgb="FF4A86E8"/>
    </font>
    <font>
      <u/>
      <sz val="10.0"/>
      <color rgb="FF4A86E8"/>
    </font>
    <font>
      <u/>
      <sz val="10.0"/>
      <color rgb="FF1155CC"/>
    </font>
    <font>
      <sz val="10.0"/>
      <color rgb="FF4A86E8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1155CC"/>
    </font>
    <font>
      <sz val="10.0"/>
      <color rgb="FF000000"/>
      <name val="Arial"/>
    </font>
    <font>
      <u/>
      <sz val="10.0"/>
      <color rgb="FF1155CC"/>
    </font>
    <font>
      <b/>
      <sz val="14.0"/>
      <color rgb="FF000000"/>
      <name val="Inconsolata"/>
    </font>
    <font>
      <sz val="11.0"/>
      <color rgb="FF222222"/>
      <name val="&quot;Open Sans&quot;"/>
    </font>
    <font>
      <b/>
      <sz val="11.0"/>
      <color rgb="FF222222"/>
      <name val="&quot;Open Sans&quot;"/>
    </font>
    <font>
      <u/>
      <sz val="11.0"/>
      <color rgb="FF3A3E4A"/>
      <name val="&quot;Open Sans&quot;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1F2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EF0A5"/>
        <bgColor rgb="FFCEF0A5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3" numFmtId="164" xfId="0" applyFill="1" applyFont="1" applyNumberFormat="1"/>
    <xf borderId="0" fillId="2" fontId="4" numFmtId="164" xfId="0" applyFont="1" applyNumberFormat="1"/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3" fontId="1" numFmtId="0" xfId="0" applyFont="1"/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3" fontId="1" numFmtId="0" xfId="0" applyAlignment="1" applyFont="1">
      <alignment readingOrder="0"/>
    </xf>
    <xf borderId="0" fillId="2" fontId="6" numFmtId="164" xfId="0" applyAlignment="1" applyFont="1" applyNumberFormat="1">
      <alignment horizontal="right" readingOrder="0"/>
    </xf>
    <xf borderId="0" fillId="2" fontId="7" numFmtId="164" xfId="0" applyAlignment="1" applyFont="1" applyNumberFormat="1">
      <alignment readingOrder="0"/>
    </xf>
    <xf borderId="0" fillId="2" fontId="0" numFmtId="164" xfId="0" applyAlignment="1" applyFont="1" applyNumberFormat="1">
      <alignment readingOrder="0"/>
    </xf>
    <xf borderId="0" fillId="0" fontId="8" numFmtId="164" xfId="0" applyFont="1" applyNumberFormat="1"/>
    <xf borderId="0" fillId="0" fontId="0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3" numFmtId="164" xfId="0" applyFont="1" applyNumberFormat="1"/>
    <xf borderId="0" fillId="2" fontId="0" numFmtId="164" xfId="0" applyFont="1" applyNumberFormat="1"/>
    <xf borderId="0" fillId="2" fontId="8" numFmtId="164" xfId="0" applyFont="1" applyNumberFormat="1"/>
    <xf borderId="0" fillId="0" fontId="5" numFmtId="0" xfId="0" applyFont="1"/>
    <xf borderId="0" fillId="3" fontId="0" numFmtId="164" xfId="0" applyAlignment="1" applyFont="1" applyNumberFormat="1">
      <alignment readingOrder="0"/>
    </xf>
    <xf borderId="0" fillId="3" fontId="0" numFmtId="164" xfId="0" applyFont="1" applyNumberFormat="1"/>
    <xf borderId="0" fillId="3" fontId="7" numFmtId="164" xfId="0" applyAlignment="1" applyFont="1" applyNumberFormat="1">
      <alignment readingOrder="0"/>
    </xf>
    <xf borderId="0" fillId="0" fontId="9" numFmtId="165" xfId="0" applyAlignment="1" applyFont="1" applyNumberFormat="1">
      <alignment readingOrder="0"/>
    </xf>
    <xf borderId="0" fillId="0" fontId="10" numFmtId="164" xfId="0" applyAlignment="1" applyFont="1" applyNumberFormat="1">
      <alignment vertical="bottom"/>
    </xf>
    <xf borderId="0" fillId="0" fontId="11" numFmtId="164" xfId="0" applyAlignment="1" applyFont="1" applyNumberFormat="1">
      <alignment vertical="bottom"/>
    </xf>
    <xf borderId="0" fillId="2" fontId="10" numFmtId="164" xfId="0" applyAlignment="1" applyFont="1" applyNumberFormat="1">
      <alignment horizontal="right" vertical="bottom"/>
    </xf>
    <xf borderId="0" fillId="2" fontId="12" numFmtId="164" xfId="0" applyAlignment="1" applyFont="1" applyNumberFormat="1">
      <alignment horizontal="right" vertical="bottom"/>
    </xf>
    <xf borderId="0" fillId="0" fontId="9" numFmtId="0" xfId="0" applyAlignment="1" applyFont="1">
      <alignment readingOrder="0"/>
    </xf>
    <xf borderId="0" fillId="2" fontId="0" numFmtId="0" xfId="0" applyAlignment="1" applyFont="1">
      <alignment readingOrder="0"/>
    </xf>
    <xf borderId="0" fillId="0" fontId="13" numFmtId="0" xfId="0" applyFont="1"/>
    <xf borderId="0" fillId="0" fontId="13" numFmtId="164" xfId="0" applyFont="1" applyNumberFormat="1"/>
    <xf borderId="0" fillId="0" fontId="13" numFmtId="164" xfId="0" applyAlignment="1" applyFont="1" applyNumberFormat="1">
      <alignment readingOrder="0"/>
    </xf>
    <xf borderId="0" fillId="2" fontId="14" numFmtId="164" xfId="0" applyFont="1" applyNumberFormat="1"/>
    <xf borderId="0" fillId="0" fontId="2" numFmtId="165" xfId="0" applyAlignment="1" applyFont="1" applyNumberFormat="1">
      <alignment horizontal="left" readingOrder="0"/>
    </xf>
    <xf borderId="0" fillId="2" fontId="13" numFmtId="164" xfId="0" applyAlignment="1" applyFont="1" applyNumberFormat="1">
      <alignment horizontal="right" readingOrder="0" vertical="bottom"/>
    </xf>
    <xf borderId="0" fillId="2" fontId="10" numFmtId="164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horizontal="left" readingOrder="0"/>
    </xf>
    <xf borderId="0" fillId="2" fontId="15" numFmtId="164" xfId="0" applyFont="1" applyNumberFormat="1"/>
    <xf borderId="0" fillId="2" fontId="13" numFmtId="164" xfId="0" applyAlignment="1" applyFont="1" applyNumberFormat="1">
      <alignment horizontal="right" vertical="bottom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0" fillId="2" fontId="17" numFmtId="0" xfId="0" applyAlignment="1" applyFont="1">
      <alignment readingOrder="0"/>
    </xf>
    <xf borderId="0" fillId="2" fontId="18" numFmtId="0" xfId="0" applyAlignment="1" applyFont="1">
      <alignment readingOrder="0"/>
    </xf>
    <xf borderId="0" fillId="2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1" numFmtId="0" xfId="0" applyFont="1"/>
    <xf borderId="0" fillId="0" fontId="2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2" fontId="24" numFmtId="0" xfId="0" applyAlignment="1" applyFont="1">
      <alignment readingOrder="0" shrinkToFit="0" wrapText="0"/>
    </xf>
    <xf borderId="0" fillId="0" fontId="25" numFmtId="0" xfId="0" applyAlignment="1" applyFont="1">
      <alignment readingOrder="0"/>
    </xf>
    <xf borderId="0" fillId="2" fontId="26" numFmtId="0" xfId="0" applyAlignment="1" applyFont="1">
      <alignment readingOrder="0"/>
    </xf>
    <xf borderId="0" fillId="2" fontId="27" numFmtId="0" xfId="0" applyAlignment="1" applyFont="1">
      <alignment readingOrder="0"/>
    </xf>
    <xf borderId="0" fillId="2" fontId="13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8" numFmtId="164" xfId="0" applyFont="1" applyNumberFormat="1"/>
    <xf borderId="0" fillId="0" fontId="5" numFmtId="164" xfId="0" applyAlignment="1" applyFont="1" applyNumberFormat="1">
      <alignment readingOrder="0"/>
    </xf>
    <xf borderId="0" fillId="2" fontId="29" numFmtId="0" xfId="0" applyAlignment="1" applyFont="1">
      <alignment readingOrder="0" shrinkToFit="0" wrapText="0"/>
    </xf>
    <xf borderId="0" fillId="2" fontId="30" numFmtId="164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2" fontId="31" numFmtId="0" xfId="0" applyAlignment="1" applyFont="1">
      <alignment readingOrder="0" shrinkToFit="0" wrapText="0"/>
    </xf>
    <xf borderId="0" fillId="0" fontId="1" numFmtId="166" xfId="0" applyFont="1" applyNumberFormat="1"/>
    <xf borderId="0" fillId="2" fontId="28" numFmtId="164" xfId="0" applyAlignment="1" applyFont="1" applyNumberFormat="1">
      <alignment readingOrder="0"/>
    </xf>
    <xf borderId="0" fillId="2" fontId="29" numFmtId="164" xfId="0" applyAlignment="1" applyFont="1" applyNumberFormat="1">
      <alignment readingOrder="0"/>
    </xf>
    <xf borderId="0" fillId="0" fontId="32" numFmtId="0" xfId="0" applyAlignment="1" applyFont="1">
      <alignment readingOrder="0"/>
    </xf>
    <xf borderId="0" fillId="0" fontId="33" numFmtId="0" xfId="0" applyFont="1"/>
    <xf borderId="0" fillId="0" fontId="32" numFmtId="164" xfId="0" applyAlignment="1" applyFont="1" applyNumberFormat="1">
      <alignment readingOrder="0"/>
    </xf>
    <xf borderId="0" fillId="0" fontId="33" numFmtId="164" xfId="0" applyFont="1" applyNumberFormat="1"/>
    <xf borderId="0" fillId="0" fontId="32" numFmtId="164" xfId="0" applyFont="1" applyNumberFormat="1"/>
    <xf borderId="0" fillId="0" fontId="33" numFmtId="0" xfId="0" applyAlignment="1" applyFont="1">
      <alignment readingOrder="0"/>
    </xf>
    <xf borderId="0" fillId="0" fontId="33" numFmtId="164" xfId="0" applyAlignment="1" applyFont="1" applyNumberFormat="1">
      <alignment readingOrder="0"/>
    </xf>
    <xf borderId="0" fillId="0" fontId="34" numFmtId="164" xfId="0" applyFont="1" applyNumberFormat="1"/>
    <xf borderId="0" fillId="0" fontId="35" numFmtId="164" xfId="0" applyFont="1" applyNumberFormat="1"/>
    <xf borderId="0" fillId="3" fontId="36" numFmtId="0" xfId="0" applyAlignment="1" applyFont="1">
      <alignment horizontal="left" readingOrder="0"/>
    </xf>
    <xf borderId="0" fillId="3" fontId="33" numFmtId="0" xfId="0" applyFont="1"/>
    <xf borderId="0" fillId="3" fontId="34" numFmtId="164" xfId="0" applyAlignment="1" applyFont="1" applyNumberFormat="1">
      <alignment horizontal="right" readingOrder="0"/>
    </xf>
    <xf borderId="0" fillId="3" fontId="34" numFmtId="164" xfId="0" applyFont="1" applyNumberFormat="1"/>
    <xf borderId="0" fillId="3" fontId="35" numFmtId="164" xfId="0" applyFont="1" applyNumberFormat="1"/>
    <xf borderId="0" fillId="4" fontId="37" numFmtId="0" xfId="0" applyAlignment="1" applyFill="1" applyFont="1">
      <alignment horizontal="left" readingOrder="0"/>
    </xf>
    <xf borderId="0" fillId="4" fontId="33" numFmtId="0" xfId="0" applyFont="1"/>
    <xf borderId="0" fillId="4" fontId="34" numFmtId="164" xfId="0" applyAlignment="1" applyFont="1" applyNumberFormat="1">
      <alignment horizontal="right" readingOrder="0"/>
    </xf>
    <xf borderId="0" fillId="4" fontId="34" numFmtId="164" xfId="0" applyAlignment="1" applyFont="1" applyNumberFormat="1">
      <alignment readingOrder="0"/>
    </xf>
    <xf borderId="0" fillId="4" fontId="35" numFmtId="164" xfId="0" applyFont="1" applyNumberFormat="1"/>
    <xf borderId="0" fillId="2" fontId="35" numFmtId="0" xfId="0" applyFont="1"/>
    <xf borderId="0" fillId="4" fontId="33" numFmtId="0" xfId="0" applyAlignment="1" applyFont="1">
      <alignment readingOrder="0"/>
    </xf>
    <xf borderId="0" fillId="3" fontId="33" numFmtId="0" xfId="0" applyAlignment="1" applyFont="1">
      <alignment readingOrder="0"/>
    </xf>
    <xf borderId="0" fillId="4" fontId="38" numFmtId="0" xfId="0" applyAlignment="1" applyFont="1">
      <alignment horizontal="left" readingOrder="0"/>
    </xf>
    <xf borderId="0" fillId="3" fontId="39" numFmtId="0" xfId="0" applyAlignment="1" applyFont="1">
      <alignment horizontal="left" readingOrder="0"/>
    </xf>
    <xf borderId="0" fillId="4" fontId="33" numFmtId="164" xfId="0" applyAlignment="1" applyFont="1" applyNumberFormat="1">
      <alignment readingOrder="0"/>
    </xf>
    <xf borderId="0" fillId="3" fontId="40" numFmtId="0" xfId="0" applyAlignment="1" applyFont="1">
      <alignment horizontal="left" readingOrder="0"/>
    </xf>
    <xf borderId="0" fillId="3" fontId="33" numFmtId="164" xfId="0" applyAlignment="1" applyFont="1" applyNumberFormat="1">
      <alignment readingOrder="0"/>
    </xf>
    <xf borderId="0" fillId="3" fontId="33" numFmtId="164" xfId="0" applyFont="1" applyNumberFormat="1"/>
    <xf borderId="0" fillId="4" fontId="24" numFmtId="0" xfId="0" applyFont="1"/>
    <xf borderId="0" fillId="3" fontId="32" numFmtId="164" xfId="0" applyFont="1" applyNumberFormat="1"/>
    <xf borderId="0" fillId="3" fontId="24" numFmtId="0" xfId="0" applyFont="1"/>
    <xf borderId="0" fillId="3" fontId="24" numFmtId="164" xfId="0" applyFont="1" applyNumberFormat="1"/>
    <xf borderId="0" fillId="0" fontId="32" numFmtId="0" xfId="0" applyAlignment="1" applyFont="1">
      <alignment horizontal="right" readingOrder="0"/>
    </xf>
    <xf borderId="0" fillId="0" fontId="32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otex.fi/ljunghusen/ljunghusen-sohvapoyta-o-89-cm/1538357-0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de/gp/product/B08YWVJKQS/ref=ppx_yo_dt_b_asin_title_o00_s00" TargetMode="External"/><Relationship Id="rId10" Type="http://schemas.openxmlformats.org/officeDocument/2006/relationships/hyperlink" Target="https://www.verkkokauppa.com/fi/product/16240/qcmmk/AMD-Ryzen-5-5600X-prosessori-AM4-kantaan" TargetMode="External"/><Relationship Id="rId13" Type="http://schemas.openxmlformats.org/officeDocument/2006/relationships/hyperlink" Target="https://www.amazon.com/Express-Converter-PCI-Express-Adapter-Multiplier/dp/B08GCS61YX" TargetMode="External"/><Relationship Id="rId12" Type="http://schemas.openxmlformats.org/officeDocument/2006/relationships/hyperlink" Target="https://www.dustinhome.fi/product/5011045548/type-4-sleeved-pcie-62" TargetMode="External"/><Relationship Id="rId1" Type="http://schemas.openxmlformats.org/officeDocument/2006/relationships/hyperlink" Target="https://www.amazon.de/-/en/gp/product/B07CGJNLBB/ref=ppx_yo_dt_b_asin_title_o00_s00?ie=UTF8&amp;psc=1" TargetMode="External"/><Relationship Id="rId2" Type="http://schemas.openxmlformats.org/officeDocument/2006/relationships/hyperlink" Target="https://www.amazon.de/-/en/gp/product/B07D5RBR2P/ref=ppx_yo_dt_b_asin_title_o01_s00?ie=UTF8&amp;psc=1" TargetMode="External"/><Relationship Id="rId3" Type="http://schemas.openxmlformats.org/officeDocument/2006/relationships/hyperlink" Target="https://www.amazon.de/-/en/gp/product/B07W6KSQQK/ref=ppx_yo_dt_b_asin_title_o02_s00?ie=UTF8&amp;psc=1" TargetMode="External"/><Relationship Id="rId4" Type="http://schemas.openxmlformats.org/officeDocument/2006/relationships/hyperlink" Target="https://www.amazon.de/-/en/gp/product/B07GRN2JBX/ref=ppx_yo_dt_b_asin_title_o02_s01?ie=UTF8&amp;psc=1" TargetMode="External"/><Relationship Id="rId9" Type="http://schemas.openxmlformats.org/officeDocument/2006/relationships/hyperlink" Target="https://www.aliexpress.com/item/10000313454567.html?spm=a2g0s.9042311.0.0.53084c4dvPxrds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www.amazon.de/-/en/gp/product/B00HSS9KJY/ref=ppx_od_dt_b_asin_title_s00?ie=UTF8&amp;th=1" TargetMode="External"/><Relationship Id="rId5" Type="http://schemas.openxmlformats.org/officeDocument/2006/relationships/hyperlink" Target="https://www.multitronic.fi/en/products/2209905/nzxt-aer-rgb-2---120mm-single" TargetMode="External"/><Relationship Id="rId6" Type="http://schemas.openxmlformats.org/officeDocument/2006/relationships/hyperlink" Target="https://www.amazon.co.uk/gp/product/B084HLVZJ7/ref=ppx_yo_dt_b_asin_title_o00_s00?ie=UTF8&amp;psc=1" TargetMode="External"/><Relationship Id="rId7" Type="http://schemas.openxmlformats.org/officeDocument/2006/relationships/hyperlink" Target="https://www.amazon.de/-/en/gp/product/B089W8B8VY/ref=ppx_yo_dt_b_asin_title_o02_s01?ie=UTF8&amp;psc=1" TargetMode="External"/><Relationship Id="rId8" Type="http://schemas.openxmlformats.org/officeDocument/2006/relationships/hyperlink" Target="https://www.amazon.de/-/en/gp/product/B07PB53X21/ref=ppx_yo_dt_b_asin_title_o02_s01?ie=UTF8&amp;psc=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03044015779.html?mp=1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lanet-sports.com/p/tsg-arctic-nipper-maxi-graphic-snowboard-helmets-brown-xs-562384012638/" TargetMode="External"/><Relationship Id="rId42" Type="http://schemas.openxmlformats.org/officeDocument/2006/relationships/hyperlink" Target="https://www.planet-sports.com/p/nike-skateboarding-zoom-stefan-janoski-skate-shoes-black-black-36-379027020023/" TargetMode="External"/><Relationship Id="rId41" Type="http://schemas.openxmlformats.org/officeDocument/2006/relationships/hyperlink" Target="https://www.planet-sports.com/p/nike-skateboarding-zoom-stefan-janoski-skate-shoes-black-black-36-379027020023/" TargetMode="External"/><Relationship Id="rId44" Type="http://schemas.openxmlformats.org/officeDocument/2006/relationships/hyperlink" Target="https://www.planet-sports.com/p/nike-skateboarding-zoom-stefan-janoski-skate-shoes-black-black-36-379027020023/" TargetMode="External"/><Relationship Id="rId43" Type="http://schemas.openxmlformats.org/officeDocument/2006/relationships/hyperlink" Target="https://www.planet-sports.com/p/nike-skateboarding-zoom-stefan-janoski-skate-shoes-black-black-36-379027020023/" TargetMode="External"/><Relationship Id="rId46" Type="http://schemas.openxmlformats.org/officeDocument/2006/relationships/hyperlink" Target="https://www.planet-sports.com/p/nike-skateboarding-zoom-stefan-janoski-skate-shoes-black-black-36-379027020023/" TargetMode="External"/><Relationship Id="rId45" Type="http://schemas.openxmlformats.org/officeDocument/2006/relationships/hyperlink" Target="https://www.planet-sports.com/p/nike-skateboarding-zoom-stefan-janoski-skate-shoes-black-black-36-379027020023/" TargetMode="External"/><Relationship Id="rId1" Type="http://schemas.openxmlformats.org/officeDocument/2006/relationships/hyperlink" Target="https://www.planet-sports.com/p/dc-transition-snowboard-jacket-black-m-557249000005/" TargetMode="External"/><Relationship Id="rId2" Type="http://schemas.openxmlformats.org/officeDocument/2006/relationships/hyperlink" Target="https://www.planet-sports.com/p/etnies-marana-skate-shoes-black-dark-grey-gum-42-266309370035/" TargetMode="External"/><Relationship Id="rId3" Type="http://schemas.openxmlformats.org/officeDocument/2006/relationships/hyperlink" Target="https://www.planet-sports.com/p/bern-brighton-snowboard-helmets-satin-metallic-storm-m-515812000005/" TargetMode="External"/><Relationship Id="rId4" Type="http://schemas.openxmlformats.org/officeDocument/2006/relationships/hyperlink" Target="https://www.planet-sports.com/p/sandqvist-roald-backpack-multi-olive-beige-with-natural-lthr-one-size-544434013436/" TargetMode="External"/><Relationship Id="rId9" Type="http://schemas.openxmlformats.org/officeDocument/2006/relationships/hyperlink" Target="https://www.planet-sports.com/p/adidas-originals-stan-smith-sneaker-low-white-pink-38-406291000027/" TargetMode="External"/><Relationship Id="rId48" Type="http://schemas.openxmlformats.org/officeDocument/2006/relationships/hyperlink" Target="https://www.planet-sports.com/p/nike-skateboarding-zoom-stefan-janoski-skate-shoes-black-black-36-379027020023/" TargetMode="External"/><Relationship Id="rId47" Type="http://schemas.openxmlformats.org/officeDocument/2006/relationships/hyperlink" Target="https://www.planet-sports.com/p/nike-skateboarding-zoom-stefan-janoski-skate-shoes-black-black-36-379027020023/" TargetMode="External"/><Relationship Id="rId49" Type="http://schemas.openxmlformats.org/officeDocument/2006/relationships/hyperlink" Target="https://www.planet-sports.com/p/nike-skateboarding-zoom-stefan-janoski-skate-shoes-black-black-36-379027020023/" TargetMode="External"/><Relationship Id="rId5" Type="http://schemas.openxmlformats.org/officeDocument/2006/relationships/hyperlink" Target="https://www.planet-sports.com/p/sandqvist-stig-backpack-black-with-natural-leather-one-size-532391003436/" TargetMode="External"/><Relationship Id="rId6" Type="http://schemas.openxmlformats.org/officeDocument/2006/relationships/hyperlink" Target="https://www.planet-sports.com/p/sandqvist-stig-backpack-black-with-natural-leather-one-size-532391003436/" TargetMode="External"/><Relationship Id="rId7" Type="http://schemas.openxmlformats.org/officeDocument/2006/relationships/hyperlink" Target="https://www.planet-sports.com/p/adidas-originals-stan-smith-sneaker-low-white-green-38-406291020027/" TargetMode="External"/><Relationship Id="rId8" Type="http://schemas.openxmlformats.org/officeDocument/2006/relationships/hyperlink" Target="https://www.planet-sports.com/p/adidas-originals-stan-smith-sneaker-low-white-green-36-406291020023/" TargetMode="External"/><Relationship Id="rId31" Type="http://schemas.openxmlformats.org/officeDocument/2006/relationships/hyperlink" Target="https://www.planet-sports.com/p/tsg-professional-snowboard-protectors-black-l-128590010007/" TargetMode="External"/><Relationship Id="rId30" Type="http://schemas.openxmlformats.org/officeDocument/2006/relationships/hyperlink" Target="https://www.planet-sports.com/p/sandqvist-roald-backpack-black-one-size-449010003436/" TargetMode="External"/><Relationship Id="rId33" Type="http://schemas.openxmlformats.org/officeDocument/2006/relationships/hyperlink" Target="https://www.planet-sports.com/p/volcom-mini-stone-stomps-snowboard-tuning-multi-one-size-558128013436/" TargetMode="External"/><Relationship Id="rId32" Type="http://schemas.openxmlformats.org/officeDocument/2006/relationships/hyperlink" Target="https://www.planet-sports.com/p/tsg-professional-snowboard-protectors-black-l-128590010007/" TargetMode="External"/><Relationship Id="rId35" Type="http://schemas.openxmlformats.org/officeDocument/2006/relationships/hyperlink" Target="https://www.planet-sports.com/p/element-section-8.25-skateboard-deck-600207000000/" TargetMode="External"/><Relationship Id="rId34" Type="http://schemas.openxmlformats.org/officeDocument/2006/relationships/hyperlink" Target="https://www.planet-sports.com/p/adidas-originals-tubular-shadow-sneaker-low-core-black-aero-pink-off-white-36-2-3-496388010362/" TargetMode="External"/><Relationship Id="rId37" Type="http://schemas.openxmlformats.org/officeDocument/2006/relationships/hyperlink" Target="https://www.planet-sports.com/p/inpeddo-it-s-a-crime-deck-8.0-skateboard-decks-572897003436/" TargetMode="External"/><Relationship Id="rId36" Type="http://schemas.openxmlformats.org/officeDocument/2006/relationships/hyperlink" Target="https://www.planet-sports.com/p/element-section-8.25-skateboard-deck-600207000000/" TargetMode="External"/><Relationship Id="rId39" Type="http://schemas.openxmlformats.org/officeDocument/2006/relationships/hyperlink" Target="https://www.planet-sports.com/p/tsg-arctic-nipper-maxi-graphic-snowboard-helmets-brown-xs-562384012638/" TargetMode="External"/><Relationship Id="rId38" Type="http://schemas.openxmlformats.org/officeDocument/2006/relationships/hyperlink" Target="https://www.planet-sports.com/p/dc-sanctioned-long-socks-woodland-camo-castlerock-41-45-566928004493/" TargetMode="External"/><Relationship Id="rId20" Type="http://schemas.openxmlformats.org/officeDocument/2006/relationships/hyperlink" Target="https://www.planet-sports.com/p/nitro-monarch-tls-all-mountain-snowboard-boots-black-38-544482000027/" TargetMode="External"/><Relationship Id="rId22" Type="http://schemas.openxmlformats.org/officeDocument/2006/relationships/hyperlink" Target="https://www.planet-sports.com/p/k2-snowboarding-bottle-rocket-156-cm-snowboard-601358000000/" TargetMode="External"/><Relationship Id="rId21" Type="http://schemas.openxmlformats.org/officeDocument/2006/relationships/hyperlink" Target="https://www.planet-sports.com/p/volcom-radar-hood-black-check-558141003436/" TargetMode="External"/><Relationship Id="rId24" Type="http://schemas.openxmlformats.org/officeDocument/2006/relationships/hyperlink" Target="https://www.planet-sports.com/p/nitro-anthem-all-mountain-snowboard-boots-black-wht-red-blue-m-558419000005/" TargetMode="External"/><Relationship Id="rId23" Type="http://schemas.openxmlformats.org/officeDocument/2006/relationships/hyperlink" Target="https://www.planet-sports.com/p/dc-biddy-152cm-snowboard-557217003436/" TargetMode="External"/><Relationship Id="rId26" Type="http://schemas.openxmlformats.org/officeDocument/2006/relationships/hyperlink" Target="https://www.planet-sports.com/p/sandqvist-roald-backpack-olive-one-size-449010023436/" TargetMode="External"/><Relationship Id="rId25" Type="http://schemas.openxmlformats.org/officeDocument/2006/relationships/hyperlink" Target="https://www.planet-sports.com/p/nitro-anthem-all-mountain-snowboard-boots-black-wht-red-blue-m-558419000005/" TargetMode="External"/><Relationship Id="rId28" Type="http://schemas.openxmlformats.org/officeDocument/2006/relationships/hyperlink" Target="https://www.planet-sports.com/p/sandqvist-roald-backpack-black-one-size-449010003436/" TargetMode="External"/><Relationship Id="rId27" Type="http://schemas.openxmlformats.org/officeDocument/2006/relationships/hyperlink" Target="https://www.planet-sports.com/p/sandqvist-roald-backpack-olive-one-size-449010023436/" TargetMode="External"/><Relationship Id="rId29" Type="http://schemas.openxmlformats.org/officeDocument/2006/relationships/hyperlink" Target="https://www.planet-sports.com/p/sandqvist-roald-backpack-black-one-size-449010003436/" TargetMode="External"/><Relationship Id="rId51" Type="http://schemas.openxmlformats.org/officeDocument/2006/relationships/hyperlink" Target="https://www.planet-sports.com/p/dakine-packable-rolltop-dry-pack-30l-backpack-562608003436/" TargetMode="External"/><Relationship Id="rId50" Type="http://schemas.openxmlformats.org/officeDocument/2006/relationships/hyperlink" Target="https://www.planet-sports.com/p/nike-skateboarding-zoom-stefan-janoski-skate-shoes-black-black-36-379027020023/" TargetMode="External"/><Relationship Id="rId52" Type="http://schemas.openxmlformats.org/officeDocument/2006/relationships/drawing" Target="../drawings/drawing6.xml"/><Relationship Id="rId11" Type="http://schemas.openxmlformats.org/officeDocument/2006/relationships/hyperlink" Target="https://www.planet-sports.com/p/smith-scout-snowboard-helmets-matte-cloudgrey-s-543533010004/" TargetMode="External"/><Relationship Id="rId10" Type="http://schemas.openxmlformats.org/officeDocument/2006/relationships/hyperlink" Target="https://www.planet-sports.com/p/adidas-originals-stan-smith-sneaker-low-white-pink-36-406291000023/" TargetMode="External"/><Relationship Id="rId13" Type="http://schemas.openxmlformats.org/officeDocument/2006/relationships/hyperlink" Target="https://www.planet-sports.com/p/bern-watts-snowboard-helmets-grey-s-482457010004/" TargetMode="External"/><Relationship Id="rId12" Type="http://schemas.openxmlformats.org/officeDocument/2006/relationships/hyperlink" Target="https://www.planet-sports.com/p/bern-macon-2.0-thin-shell-snowboard-helmets-mint-s-559660040004/" TargetMode="External"/><Relationship Id="rId15" Type="http://schemas.openxmlformats.org/officeDocument/2006/relationships/hyperlink" Target="https://www.planet-sports.com/p/volcom-averted-visions-jacket-black-m-560677000005/" TargetMode="External"/><Relationship Id="rId14" Type="http://schemas.openxmlformats.org/officeDocument/2006/relationships/hyperlink" Target="https://www.planet-sports.com/p/dc-dryden-hoodie-black-m-557230000005/" TargetMode="External"/><Relationship Id="rId17" Type="http://schemas.openxmlformats.org/officeDocument/2006/relationships/hyperlink" Target="https://www.planet-sports.com/p/helly-hansen-p-c-quilted-jacket-black-l-543811010007/" TargetMode="External"/><Relationship Id="rId16" Type="http://schemas.openxmlformats.org/officeDocument/2006/relationships/hyperlink" Target="https://www.planet-sports.com/p/uvex-500-visor-snowboard-helmets-cobalt-white-mat-s-518476010004/" TargetMode="External"/><Relationship Id="rId19" Type="http://schemas.openxmlformats.org/officeDocument/2006/relationships/hyperlink" Target="https://www.planet-sports.com/p/eivy-icecold-tights-base-layer-bottoms-multicolor-xs-558935010003/" TargetMode="External"/><Relationship Id="rId18" Type="http://schemas.openxmlformats.org/officeDocument/2006/relationships/hyperlink" Target="https://www.planet-sports.com/p/helly-hansen-active-puffy-long-jacket-navy-m-5533290000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  <col customWidth="1" min="2" max="2" width="43.63"/>
  </cols>
  <sheetData>
    <row r="1">
      <c r="C1" s="1"/>
      <c r="D1" s="1"/>
      <c r="E1" s="1"/>
    </row>
    <row r="2">
      <c r="C2" s="2" t="s">
        <v>0</v>
      </c>
      <c r="D2" s="2" t="s">
        <v>1</v>
      </c>
      <c r="E2" s="2" t="s">
        <v>2</v>
      </c>
    </row>
    <row r="3">
      <c r="C3" s="3"/>
      <c r="D3" s="3"/>
      <c r="E3" s="3"/>
    </row>
    <row r="4">
      <c r="C4" s="4">
        <f t="shared" ref="C4:D4" si="1">SUM(C7:C1022)</f>
        <v>27693.88</v>
      </c>
      <c r="D4" s="4">
        <f t="shared" si="1"/>
        <v>40389</v>
      </c>
      <c r="E4" s="5">
        <f>SUM(D4 - C4)</f>
        <v>12695.12</v>
      </c>
    </row>
    <row r="5">
      <c r="C5" s="3"/>
      <c r="D5" s="3"/>
      <c r="E5" s="3"/>
    </row>
    <row r="6">
      <c r="C6" s="3"/>
      <c r="D6" s="3"/>
      <c r="E6" s="3"/>
    </row>
    <row r="7">
      <c r="A7" s="6" t="s">
        <v>3</v>
      </c>
      <c r="C7" s="3">
        <v>100.0</v>
      </c>
      <c r="D7" s="1"/>
      <c r="E7" s="1"/>
    </row>
    <row r="8">
      <c r="A8" s="7" t="s">
        <v>4</v>
      </c>
      <c r="C8" s="3">
        <v>0.0</v>
      </c>
      <c r="D8" s="3">
        <v>65.0</v>
      </c>
      <c r="E8" s="1"/>
    </row>
    <row r="9">
      <c r="A9" s="7" t="s">
        <v>5</v>
      </c>
      <c r="C9" s="3">
        <v>0.0</v>
      </c>
      <c r="D9" s="3">
        <v>65.0</v>
      </c>
      <c r="E9" s="1"/>
    </row>
    <row r="10">
      <c r="A10" s="7" t="s">
        <v>6</v>
      </c>
      <c r="C10" s="3">
        <v>0.0</v>
      </c>
      <c r="D10" s="3"/>
      <c r="E10" s="1"/>
      <c r="G10" s="8" t="s">
        <v>7</v>
      </c>
    </row>
    <row r="11">
      <c r="A11" s="7"/>
      <c r="C11" s="3"/>
      <c r="D11" s="3"/>
      <c r="E11" s="1"/>
      <c r="G11" s="8"/>
    </row>
    <row r="12">
      <c r="A12" s="6" t="s">
        <v>8</v>
      </c>
      <c r="C12" s="3">
        <v>35.0</v>
      </c>
      <c r="D12" s="3">
        <v>70.0</v>
      </c>
      <c r="E12" s="1"/>
    </row>
    <row r="13">
      <c r="A13" s="6"/>
      <c r="C13" s="3"/>
      <c r="D13" s="3"/>
      <c r="E13" s="1"/>
    </row>
    <row r="14">
      <c r="A14" s="6" t="s">
        <v>9</v>
      </c>
      <c r="C14" s="3">
        <v>50.0</v>
      </c>
      <c r="D14" s="3">
        <v>100.0</v>
      </c>
      <c r="E14" s="1"/>
    </row>
    <row r="15">
      <c r="A15" s="6"/>
      <c r="C15" s="3"/>
      <c r="D15" s="3"/>
      <c r="E15" s="1"/>
    </row>
    <row r="16">
      <c r="A16" s="6" t="s">
        <v>10</v>
      </c>
      <c r="C16" s="3">
        <v>200.0</v>
      </c>
      <c r="D16" s="3">
        <v>200.0</v>
      </c>
      <c r="E16" s="1"/>
    </row>
    <row r="17">
      <c r="A17" s="8" t="s">
        <v>11</v>
      </c>
      <c r="B17" s="8"/>
      <c r="C17" s="3">
        <v>0.0</v>
      </c>
      <c r="D17" s="3">
        <v>20.0</v>
      </c>
      <c r="E17" s="1"/>
    </row>
    <row r="18">
      <c r="A18" s="8" t="s">
        <v>12</v>
      </c>
      <c r="C18" s="3">
        <v>0.0</v>
      </c>
      <c r="D18" s="3">
        <v>30.0</v>
      </c>
      <c r="E18" s="1"/>
    </row>
    <row r="19">
      <c r="A19" s="8" t="s">
        <v>13</v>
      </c>
      <c r="C19" s="3">
        <v>0.0</v>
      </c>
      <c r="D19" s="3"/>
      <c r="E19" s="1"/>
    </row>
    <row r="20">
      <c r="A20" s="6"/>
      <c r="C20" s="3"/>
      <c r="D20" s="1"/>
      <c r="E20" s="1"/>
    </row>
    <row r="21">
      <c r="A21" s="6" t="s">
        <v>14</v>
      </c>
      <c r="C21" s="3">
        <v>110.0</v>
      </c>
      <c r="D21" s="3">
        <v>200.0</v>
      </c>
      <c r="E21" s="1"/>
    </row>
    <row r="22">
      <c r="A22" s="8" t="s">
        <v>13</v>
      </c>
      <c r="C22" s="3">
        <v>0.0</v>
      </c>
      <c r="D22" s="1"/>
      <c r="E22" s="1"/>
    </row>
    <row r="23">
      <c r="A23" s="6"/>
      <c r="C23" s="3"/>
      <c r="D23" s="3"/>
      <c r="E23" s="1"/>
    </row>
    <row r="24">
      <c r="A24" s="6" t="s">
        <v>15</v>
      </c>
      <c r="C24" s="3">
        <v>200.0</v>
      </c>
      <c r="D24" s="3">
        <v>200.0</v>
      </c>
      <c r="E24" s="1"/>
    </row>
    <row r="25">
      <c r="A25" s="8" t="s">
        <v>16</v>
      </c>
      <c r="C25" s="3">
        <v>0.0</v>
      </c>
      <c r="D25" s="1"/>
      <c r="E25" s="1"/>
    </row>
    <row r="26">
      <c r="A26" s="8" t="s">
        <v>17</v>
      </c>
      <c r="C26" s="3">
        <v>0.0</v>
      </c>
      <c r="D26" s="3">
        <v>60.0</v>
      </c>
      <c r="E26" s="1"/>
    </row>
    <row r="27">
      <c r="A27" s="8"/>
      <c r="C27" s="3"/>
      <c r="D27" s="1"/>
      <c r="E27" s="1"/>
    </row>
    <row r="28">
      <c r="A28" s="9" t="s">
        <v>18</v>
      </c>
      <c r="B28" s="10"/>
      <c r="C28" s="11">
        <v>80.0</v>
      </c>
      <c r="D28" s="12"/>
      <c r="E28" s="12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C29" s="1"/>
      <c r="D29" s="1"/>
      <c r="E29" s="1"/>
    </row>
    <row r="30">
      <c r="A30" s="6" t="s">
        <v>19</v>
      </c>
      <c r="C30" s="3">
        <v>25.0</v>
      </c>
      <c r="D30" s="1"/>
      <c r="E30" s="1"/>
    </row>
    <row r="31">
      <c r="A31" s="8" t="s">
        <v>20</v>
      </c>
      <c r="C31" s="3">
        <v>0.0</v>
      </c>
      <c r="D31" s="3">
        <v>40.0</v>
      </c>
      <c r="E31" s="1"/>
    </row>
    <row r="32">
      <c r="A32" s="8" t="s">
        <v>21</v>
      </c>
      <c r="C32" s="3">
        <v>0.0</v>
      </c>
      <c r="D32" s="3">
        <v>7.5</v>
      </c>
      <c r="E32" s="1"/>
    </row>
    <row r="33">
      <c r="A33" s="8" t="s">
        <v>22</v>
      </c>
      <c r="C33" s="3">
        <v>0.0</v>
      </c>
      <c r="D33" s="3">
        <v>30.0</v>
      </c>
      <c r="E33" s="1"/>
    </row>
    <row r="34">
      <c r="C34" s="1"/>
      <c r="D34" s="1"/>
      <c r="E34" s="1"/>
    </row>
    <row r="35">
      <c r="A35" s="6" t="s">
        <v>23</v>
      </c>
      <c r="C35" s="3">
        <v>300.0</v>
      </c>
      <c r="D35" s="1"/>
      <c r="E35" s="1"/>
    </row>
    <row r="36">
      <c r="A36" s="8" t="s">
        <v>24</v>
      </c>
      <c r="C36" s="3">
        <v>0.0</v>
      </c>
      <c r="D36" s="3">
        <v>7.5</v>
      </c>
      <c r="E36" s="1"/>
    </row>
    <row r="37">
      <c r="A37" s="8" t="s">
        <v>25</v>
      </c>
      <c r="C37" s="3">
        <v>0.0</v>
      </c>
      <c r="D37" s="3">
        <v>40.0</v>
      </c>
      <c r="E37" s="1"/>
    </row>
    <row r="38">
      <c r="A38" s="8" t="s">
        <v>26</v>
      </c>
      <c r="C38" s="3">
        <v>0.0</v>
      </c>
      <c r="D38" s="3">
        <v>28.0</v>
      </c>
      <c r="E38" s="1"/>
    </row>
    <row r="39">
      <c r="A39" s="8" t="s">
        <v>27</v>
      </c>
      <c r="C39" s="3">
        <v>0.0</v>
      </c>
      <c r="D39" s="3">
        <v>30.0</v>
      </c>
      <c r="E39" s="1"/>
    </row>
    <row r="40">
      <c r="A40" s="8" t="s">
        <v>28</v>
      </c>
      <c r="C40" s="3">
        <v>0.0</v>
      </c>
      <c r="D40" s="3">
        <v>25.0</v>
      </c>
      <c r="E40" s="1"/>
    </row>
    <row r="41">
      <c r="A41" s="8" t="s">
        <v>29</v>
      </c>
      <c r="C41" s="3">
        <v>0.0</v>
      </c>
      <c r="D41" s="3">
        <v>30.0</v>
      </c>
      <c r="E41" s="1"/>
    </row>
    <row r="42">
      <c r="A42" s="8" t="s">
        <v>30</v>
      </c>
      <c r="C42" s="3">
        <v>0.0</v>
      </c>
      <c r="D42" s="3">
        <v>40.0</v>
      </c>
      <c r="E42" s="1"/>
    </row>
    <row r="43">
      <c r="A43" s="8" t="s">
        <v>31</v>
      </c>
      <c r="C43" s="3">
        <v>0.0</v>
      </c>
      <c r="D43" s="3">
        <v>200.0</v>
      </c>
      <c r="E43" s="1"/>
    </row>
    <row r="44">
      <c r="C44" s="1"/>
      <c r="D44" s="1"/>
      <c r="E44" s="1"/>
    </row>
    <row r="45">
      <c r="A45" s="6" t="s">
        <v>32</v>
      </c>
      <c r="C45" s="3">
        <v>90.0</v>
      </c>
      <c r="D45" s="3">
        <v>150.0</v>
      </c>
      <c r="E45" s="1"/>
    </row>
    <row r="46">
      <c r="C46" s="1"/>
      <c r="D46" s="1"/>
      <c r="E46" s="1"/>
    </row>
    <row r="47">
      <c r="A47" s="6" t="s">
        <v>33</v>
      </c>
      <c r="C47" s="3">
        <v>100.0</v>
      </c>
      <c r="D47" s="3">
        <v>190.0</v>
      </c>
      <c r="E47" s="1"/>
    </row>
    <row r="48">
      <c r="C48" s="1"/>
      <c r="D48" s="1"/>
      <c r="E48" s="1"/>
    </row>
    <row r="49">
      <c r="A49" s="6" t="s">
        <v>34</v>
      </c>
      <c r="C49" s="3">
        <v>100.0</v>
      </c>
      <c r="D49" s="3">
        <v>155.0</v>
      </c>
      <c r="E49" s="1"/>
    </row>
    <row r="50">
      <c r="C50" s="1"/>
      <c r="D50" s="1"/>
      <c r="E50" s="1"/>
    </row>
    <row r="51">
      <c r="A51" s="6" t="s">
        <v>35</v>
      </c>
      <c r="C51" s="3">
        <v>40.0</v>
      </c>
      <c r="D51" s="3">
        <v>150.0</v>
      </c>
      <c r="E51" s="1"/>
    </row>
    <row r="52">
      <c r="C52" s="1"/>
      <c r="D52" s="1"/>
      <c r="E52" s="1"/>
    </row>
    <row r="53">
      <c r="A53" s="6" t="s">
        <v>36</v>
      </c>
      <c r="C53" s="3">
        <v>450.0</v>
      </c>
      <c r="D53" s="3">
        <v>370.0</v>
      </c>
      <c r="E53" s="1"/>
    </row>
    <row r="54">
      <c r="A54" s="8" t="s">
        <v>37</v>
      </c>
      <c r="C54" s="1"/>
      <c r="D54" s="3">
        <v>180.0</v>
      </c>
      <c r="E54" s="1"/>
    </row>
    <row r="55">
      <c r="A55" s="8" t="s">
        <v>38</v>
      </c>
      <c r="C55" s="1"/>
      <c r="D55" s="3">
        <v>100.0</v>
      </c>
      <c r="E55" s="1"/>
    </row>
    <row r="56">
      <c r="C56" s="1"/>
      <c r="D56" s="1"/>
      <c r="E56" s="1"/>
    </row>
    <row r="57">
      <c r="A57" s="6" t="s">
        <v>39</v>
      </c>
      <c r="C57" s="3">
        <v>230.0</v>
      </c>
      <c r="D57" s="3">
        <v>280.0</v>
      </c>
      <c r="E57" s="1"/>
    </row>
    <row r="58">
      <c r="C58" s="1"/>
      <c r="D58" s="1"/>
      <c r="E58" s="1"/>
    </row>
    <row r="59">
      <c r="A59" s="6" t="s">
        <v>40</v>
      </c>
      <c r="C59" s="3">
        <v>374.0</v>
      </c>
      <c r="D59" s="1"/>
      <c r="E59" s="1"/>
    </row>
    <row r="60">
      <c r="A60" s="13" t="s">
        <v>41</v>
      </c>
      <c r="B60" s="10"/>
      <c r="C60" s="12"/>
      <c r="D60" s="12"/>
      <c r="E60" s="12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8" t="s">
        <v>42</v>
      </c>
      <c r="C61" s="3"/>
      <c r="D61" s="14">
        <v>240.0</v>
      </c>
      <c r="E61" s="1"/>
    </row>
    <row r="62">
      <c r="A62" s="8" t="s">
        <v>43</v>
      </c>
      <c r="C62" s="1"/>
      <c r="D62" s="3">
        <v>55.0</v>
      </c>
      <c r="E62" s="1"/>
    </row>
    <row r="63">
      <c r="C63" s="4"/>
      <c r="D63" s="4"/>
      <c r="E63" s="15"/>
    </row>
    <row r="64">
      <c r="A64" s="6" t="s">
        <v>44</v>
      </c>
      <c r="C64" s="16">
        <v>250.0</v>
      </c>
      <c r="D64" s="4"/>
      <c r="E64" s="15"/>
    </row>
    <row r="65">
      <c r="A65" s="8" t="s">
        <v>45</v>
      </c>
      <c r="C65" s="17"/>
      <c r="D65" s="18">
        <v>170.0</v>
      </c>
      <c r="E65" s="19"/>
    </row>
    <row r="66">
      <c r="A66" s="8" t="s">
        <v>46</v>
      </c>
      <c r="C66" s="17"/>
      <c r="D66" s="18">
        <v>180.0</v>
      </c>
      <c r="E66" s="19"/>
    </row>
    <row r="67">
      <c r="A67" s="8" t="s">
        <v>47</v>
      </c>
      <c r="C67" s="16">
        <v>20.0</v>
      </c>
      <c r="D67" s="4"/>
      <c r="E67" s="15"/>
    </row>
    <row r="68">
      <c r="C68" s="4"/>
      <c r="D68" s="4"/>
      <c r="E68" s="15"/>
    </row>
    <row r="69">
      <c r="A69" s="6" t="s">
        <v>48</v>
      </c>
      <c r="C69" s="16">
        <v>130.0</v>
      </c>
      <c r="D69" s="4"/>
      <c r="E69" s="15"/>
    </row>
    <row r="70">
      <c r="A70" s="8" t="s">
        <v>49</v>
      </c>
      <c r="C70" s="20"/>
      <c r="D70" s="18">
        <v>30.0</v>
      </c>
      <c r="E70" s="19"/>
    </row>
    <row r="71">
      <c r="A71" s="8" t="s">
        <v>50</v>
      </c>
      <c r="C71" s="20"/>
      <c r="D71" s="18">
        <v>20.0</v>
      </c>
      <c r="E71" s="19"/>
    </row>
    <row r="72">
      <c r="A72" s="8" t="s">
        <v>51</v>
      </c>
      <c r="C72" s="4"/>
      <c r="D72" s="16">
        <v>50.0</v>
      </c>
      <c r="E72" s="15"/>
    </row>
    <row r="73">
      <c r="A73" s="8" t="s">
        <v>52</v>
      </c>
      <c r="C73" s="20"/>
      <c r="D73" s="18">
        <v>100.0</v>
      </c>
      <c r="E73" s="19"/>
    </row>
    <row r="74">
      <c r="C74" s="1"/>
      <c r="D74" s="21"/>
      <c r="E74" s="15"/>
    </row>
    <row r="75">
      <c r="A75" s="6" t="s">
        <v>53</v>
      </c>
      <c r="C75" s="18">
        <v>30.0</v>
      </c>
      <c r="D75" s="18">
        <v>60.0</v>
      </c>
      <c r="E75" s="19"/>
    </row>
    <row r="76">
      <c r="C76" s="22"/>
      <c r="D76" s="21"/>
      <c r="E76" s="15"/>
    </row>
    <row r="77">
      <c r="A77" s="6" t="s">
        <v>54</v>
      </c>
      <c r="B77" s="23"/>
      <c r="C77" s="18">
        <v>50.0</v>
      </c>
      <c r="D77" s="18">
        <v>100.0</v>
      </c>
      <c r="E77" s="19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C78" s="22"/>
      <c r="D78" s="21"/>
      <c r="E78" s="15"/>
    </row>
    <row r="79">
      <c r="A79" s="6" t="s">
        <v>55</v>
      </c>
      <c r="C79" s="18">
        <v>200.0</v>
      </c>
      <c r="D79" s="18">
        <v>200.0</v>
      </c>
      <c r="E79" s="19"/>
    </row>
    <row r="80">
      <c r="A80" s="8" t="s">
        <v>51</v>
      </c>
      <c r="C80" s="4"/>
      <c r="D80" s="16">
        <v>15.0</v>
      </c>
      <c r="E80" s="15"/>
    </row>
    <row r="81">
      <c r="C81" s="22"/>
      <c r="D81" s="21"/>
      <c r="E81" s="15"/>
    </row>
    <row r="82">
      <c r="A82" s="9" t="s">
        <v>56</v>
      </c>
      <c r="B82" s="10"/>
      <c r="C82" s="24">
        <v>160.0</v>
      </c>
      <c r="D82" s="25"/>
      <c r="E82" s="26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C83" s="22"/>
      <c r="D83" s="21"/>
      <c r="E83" s="15"/>
    </row>
    <row r="84">
      <c r="A84" s="6" t="s">
        <v>57</v>
      </c>
      <c r="C84" s="18">
        <v>90.0</v>
      </c>
      <c r="D84" s="18">
        <v>150.0</v>
      </c>
      <c r="E84" s="19"/>
    </row>
    <row r="85">
      <c r="C85" s="22"/>
      <c r="D85" s="4"/>
      <c r="E85" s="15"/>
    </row>
    <row r="86">
      <c r="A86" s="6" t="s">
        <v>58</v>
      </c>
      <c r="C86" s="18">
        <v>50.0</v>
      </c>
      <c r="D86" s="18">
        <v>100.0</v>
      </c>
      <c r="E86" s="19"/>
    </row>
    <row r="87">
      <c r="C87" s="22"/>
      <c r="D87" s="4"/>
      <c r="E87" s="15"/>
    </row>
    <row r="88">
      <c r="A88" s="27">
        <v>44896.0</v>
      </c>
      <c r="C88" s="28" t="s">
        <v>0</v>
      </c>
      <c r="D88" s="28" t="s">
        <v>1</v>
      </c>
      <c r="E88" s="28" t="s">
        <v>2</v>
      </c>
    </row>
    <row r="89">
      <c r="C89" s="29"/>
      <c r="D89" s="29"/>
      <c r="E89" s="29"/>
    </row>
    <row r="90">
      <c r="C90" s="30">
        <f t="shared" ref="C90:D90" si="2">SUM(C91:C112)</f>
        <v>930</v>
      </c>
      <c r="D90" s="30">
        <f t="shared" si="2"/>
        <v>1535</v>
      </c>
      <c r="E90" s="31">
        <f>SUM(D90 - C90)</f>
        <v>605</v>
      </c>
    </row>
    <row r="91">
      <c r="C91" s="4"/>
      <c r="D91" s="4"/>
      <c r="E91" s="15"/>
    </row>
    <row r="92">
      <c r="A92" s="6" t="s">
        <v>59</v>
      </c>
      <c r="C92" s="3">
        <v>50.0</v>
      </c>
      <c r="D92" s="3">
        <v>130.0</v>
      </c>
      <c r="E92" s="1"/>
    </row>
    <row r="93">
      <c r="C93" s="1"/>
      <c r="D93" s="1"/>
      <c r="E93" s="1"/>
    </row>
    <row r="94">
      <c r="A94" s="6" t="s">
        <v>60</v>
      </c>
      <c r="C94" s="3">
        <v>150.0</v>
      </c>
      <c r="D94" s="3">
        <v>200.0</v>
      </c>
      <c r="E94" s="1"/>
    </row>
    <row r="95">
      <c r="A95" s="8" t="s">
        <v>61</v>
      </c>
      <c r="C95" s="1"/>
      <c r="D95" s="3">
        <v>20.0</v>
      </c>
      <c r="E95" s="1"/>
    </row>
    <row r="96">
      <c r="C96" s="1"/>
      <c r="D96" s="1"/>
      <c r="E96" s="1"/>
    </row>
    <row r="97">
      <c r="A97" s="6" t="s">
        <v>62</v>
      </c>
      <c r="C97" s="3">
        <v>90.0</v>
      </c>
      <c r="D97" s="3">
        <v>120.0</v>
      </c>
      <c r="E97" s="1"/>
    </row>
    <row r="98">
      <c r="A98" s="13" t="s">
        <v>63</v>
      </c>
      <c r="B98" s="10"/>
      <c r="C98" s="12"/>
      <c r="D98" s="12"/>
      <c r="E98" s="12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C99" s="1"/>
      <c r="D99" s="1"/>
      <c r="E99" s="1"/>
    </row>
    <row r="100">
      <c r="A100" s="6" t="s">
        <v>64</v>
      </c>
      <c r="C100" s="3">
        <v>200.0</v>
      </c>
      <c r="D100" s="3">
        <v>250.0</v>
      </c>
      <c r="E100" s="1"/>
    </row>
    <row r="101">
      <c r="A101" s="8" t="s">
        <v>65</v>
      </c>
      <c r="C101" s="1"/>
      <c r="D101" s="3">
        <v>20.0</v>
      </c>
      <c r="E101" s="1"/>
    </row>
    <row r="102">
      <c r="C102" s="1"/>
      <c r="D102" s="1"/>
      <c r="E102" s="1"/>
    </row>
    <row r="103">
      <c r="A103" s="6" t="s">
        <v>66</v>
      </c>
      <c r="C103" s="3">
        <v>40.0</v>
      </c>
      <c r="D103" s="3">
        <v>190.0</v>
      </c>
      <c r="E103" s="1"/>
    </row>
    <row r="104">
      <c r="A104" s="8" t="s">
        <v>67</v>
      </c>
      <c r="C104" s="1"/>
      <c r="D104" s="1"/>
      <c r="E104" s="1"/>
    </row>
    <row r="105">
      <c r="C105" s="1"/>
      <c r="D105" s="1"/>
      <c r="E105" s="1"/>
    </row>
    <row r="106">
      <c r="A106" s="8" t="s">
        <v>68</v>
      </c>
      <c r="C106" s="3">
        <v>50.0</v>
      </c>
      <c r="D106" s="3">
        <v>120.0</v>
      </c>
      <c r="E106" s="1"/>
    </row>
    <row r="107">
      <c r="C107" s="1"/>
      <c r="D107" s="1"/>
      <c r="E107" s="1"/>
    </row>
    <row r="108">
      <c r="A108" s="6" t="s">
        <v>69</v>
      </c>
      <c r="C108" s="3">
        <v>50.0</v>
      </c>
      <c r="D108" s="3">
        <v>100.0</v>
      </c>
      <c r="E108" s="1"/>
    </row>
    <row r="109">
      <c r="C109" s="1"/>
      <c r="D109" s="1"/>
      <c r="E109" s="1"/>
    </row>
    <row r="110">
      <c r="A110" s="6" t="s">
        <v>70</v>
      </c>
      <c r="C110" s="3">
        <v>50.0</v>
      </c>
      <c r="D110" s="3">
        <v>110.0</v>
      </c>
      <c r="E110" s="1"/>
    </row>
    <row r="111">
      <c r="C111" s="1"/>
      <c r="D111" s="1"/>
      <c r="E111" s="1"/>
    </row>
    <row r="112">
      <c r="A112" s="6" t="s">
        <v>71</v>
      </c>
      <c r="C112" s="3">
        <v>250.0</v>
      </c>
      <c r="D112" s="3">
        <v>275.0</v>
      </c>
      <c r="E112" s="1"/>
    </row>
    <row r="113">
      <c r="C113" s="1"/>
      <c r="D113" s="1"/>
      <c r="E113" s="1"/>
    </row>
    <row r="114">
      <c r="C114" s="1"/>
      <c r="D114" s="1"/>
      <c r="E114" s="1"/>
    </row>
    <row r="115">
      <c r="C115" s="1"/>
      <c r="D115" s="1"/>
      <c r="E115" s="1"/>
    </row>
    <row r="116">
      <c r="C116" s="1"/>
      <c r="D116" s="1"/>
      <c r="E116" s="1"/>
    </row>
    <row r="117">
      <c r="C117" s="1"/>
      <c r="D117" s="1"/>
      <c r="E117" s="1"/>
    </row>
    <row r="118">
      <c r="C118" s="1"/>
      <c r="D118" s="1"/>
      <c r="E118" s="1"/>
    </row>
    <row r="119">
      <c r="A119" s="32">
        <v>2023.0</v>
      </c>
      <c r="C119" s="28" t="s">
        <v>0</v>
      </c>
      <c r="D119" s="28" t="s">
        <v>1</v>
      </c>
      <c r="E119" s="28" t="s">
        <v>2</v>
      </c>
    </row>
    <row r="120">
      <c r="C120" s="29"/>
      <c r="D120" s="29"/>
      <c r="E120" s="29"/>
    </row>
    <row r="121">
      <c r="C121" s="30">
        <f>SUM(C122:C197)</f>
        <v>4593.37</v>
      </c>
      <c r="D121" s="30">
        <f>SUM(D122:D1022)</f>
        <v>16393</v>
      </c>
      <c r="E121" s="31">
        <f>SUM(D121 - C121)</f>
        <v>11799.63</v>
      </c>
    </row>
    <row r="122">
      <c r="C122" s="1"/>
      <c r="D122" s="1"/>
      <c r="E122" s="1"/>
    </row>
    <row r="123">
      <c r="C123" s="1"/>
      <c r="D123" s="1"/>
      <c r="E123" s="1"/>
    </row>
    <row r="124">
      <c r="C124" s="1"/>
      <c r="D124" s="1"/>
      <c r="E124" s="1"/>
    </row>
    <row r="125">
      <c r="A125" s="8" t="s">
        <v>72</v>
      </c>
      <c r="C125" s="1"/>
      <c r="D125" s="3">
        <v>25.0</v>
      </c>
      <c r="E125" s="1"/>
    </row>
    <row r="126">
      <c r="A126" s="33" t="s">
        <v>73</v>
      </c>
      <c r="B126" s="34"/>
      <c r="C126" s="35"/>
      <c r="D126" s="36">
        <v>20.0</v>
      </c>
      <c r="E126" s="35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3" t="s">
        <v>74</v>
      </c>
      <c r="B127" s="34"/>
      <c r="C127" s="35"/>
      <c r="D127" s="36">
        <v>35.0</v>
      </c>
      <c r="E127" s="35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8" t="s">
        <v>75</v>
      </c>
      <c r="C128" s="3"/>
      <c r="D128" s="3">
        <v>25.0</v>
      </c>
      <c r="E128" s="1"/>
    </row>
    <row r="129">
      <c r="A129" s="8" t="s">
        <v>76</v>
      </c>
      <c r="C129" s="3"/>
      <c r="D129" s="3">
        <v>55.0</v>
      </c>
      <c r="E129" s="1"/>
    </row>
    <row r="130">
      <c r="A130" s="8" t="s">
        <v>77</v>
      </c>
      <c r="C130" s="3"/>
      <c r="D130" s="3">
        <v>22.0</v>
      </c>
      <c r="E130" s="1"/>
    </row>
    <row r="131">
      <c r="A131" s="8" t="s">
        <v>78</v>
      </c>
      <c r="C131" s="3"/>
      <c r="D131" s="3">
        <v>70.0</v>
      </c>
      <c r="E131" s="1"/>
    </row>
    <row r="132">
      <c r="A132" s="8"/>
      <c r="C132" s="3"/>
      <c r="D132" s="3"/>
      <c r="E132" s="1"/>
    </row>
    <row r="133">
      <c r="A133" s="8" t="s">
        <v>79</v>
      </c>
      <c r="C133" s="3"/>
      <c r="D133" s="3">
        <v>200.0</v>
      </c>
      <c r="E133" s="1"/>
    </row>
    <row r="134">
      <c r="A134" s="8" t="s">
        <v>80</v>
      </c>
      <c r="C134" s="1"/>
      <c r="D134" s="3">
        <v>280.0</v>
      </c>
      <c r="E134" s="1"/>
    </row>
    <row r="135">
      <c r="A135" s="8" t="s">
        <v>81</v>
      </c>
      <c r="C135" s="3"/>
      <c r="D135" s="3">
        <v>45.0</v>
      </c>
      <c r="E135" s="1"/>
    </row>
    <row r="136">
      <c r="A136" s="8" t="s">
        <v>82</v>
      </c>
      <c r="C136" s="3"/>
      <c r="D136" s="3">
        <v>200.0</v>
      </c>
      <c r="E136" s="1"/>
    </row>
    <row r="137">
      <c r="A137" s="8" t="s">
        <v>83</v>
      </c>
      <c r="C137" s="1"/>
      <c r="D137" s="3">
        <v>160.0</v>
      </c>
      <c r="E137" s="1"/>
    </row>
    <row r="138">
      <c r="A138" s="8" t="s">
        <v>84</v>
      </c>
      <c r="C138" s="1"/>
      <c r="D138" s="3">
        <v>20.0</v>
      </c>
      <c r="E138" s="1"/>
    </row>
    <row r="139">
      <c r="A139" s="8" t="s">
        <v>85</v>
      </c>
      <c r="C139" s="1"/>
      <c r="D139" s="3">
        <v>50.0</v>
      </c>
      <c r="E139" s="1"/>
    </row>
    <row r="140">
      <c r="A140" s="8" t="s">
        <v>86</v>
      </c>
      <c r="C140" s="1"/>
      <c r="D140" s="3">
        <v>180.0</v>
      </c>
      <c r="E140" s="1"/>
    </row>
    <row r="141">
      <c r="C141" s="1"/>
      <c r="D141" s="1"/>
      <c r="E141" s="1"/>
    </row>
    <row r="142">
      <c r="A142" s="8" t="s">
        <v>87</v>
      </c>
      <c r="C142" s="3">
        <v>55.0</v>
      </c>
      <c r="D142" s="3">
        <v>150.0</v>
      </c>
      <c r="E142" s="37">
        <f t="shared" ref="E142:E143" si="3">SUM(D142 - C142)</f>
        <v>95</v>
      </c>
    </row>
    <row r="143">
      <c r="A143" s="8" t="s">
        <v>88</v>
      </c>
      <c r="C143" s="3">
        <v>50.0</v>
      </c>
      <c r="D143" s="3">
        <v>130.0</v>
      </c>
      <c r="E143" s="37">
        <f t="shared" si="3"/>
        <v>80</v>
      </c>
    </row>
    <row r="144">
      <c r="C144" s="1"/>
      <c r="D144" s="1"/>
      <c r="E144" s="1"/>
    </row>
    <row r="145">
      <c r="A145" s="8" t="s">
        <v>89</v>
      </c>
      <c r="C145" s="3">
        <v>32.0</v>
      </c>
      <c r="D145" s="1"/>
      <c r="E145" s="1"/>
    </row>
    <row r="146">
      <c r="A146" s="8" t="s">
        <v>90</v>
      </c>
      <c r="C146" s="3">
        <v>31.0</v>
      </c>
      <c r="D146" s="1"/>
      <c r="E146" s="1"/>
    </row>
    <row r="147">
      <c r="A147" s="8"/>
      <c r="C147" s="3"/>
      <c r="D147" s="1"/>
      <c r="E147" s="1"/>
    </row>
    <row r="148">
      <c r="A148" s="9" t="s">
        <v>91</v>
      </c>
      <c r="B148" s="10"/>
      <c r="C148" s="11">
        <v>400.0</v>
      </c>
      <c r="D148" s="12"/>
      <c r="E148" s="12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8" t="s">
        <v>92</v>
      </c>
      <c r="C149" s="3"/>
      <c r="D149" s="3">
        <v>60.0</v>
      </c>
      <c r="E149" s="37">
        <f t="shared" ref="E149:E150" si="4">SUM(D149 - C149)</f>
        <v>60</v>
      </c>
    </row>
    <row r="150">
      <c r="A150" s="8" t="s">
        <v>93</v>
      </c>
      <c r="C150" s="3"/>
      <c r="D150" s="3">
        <v>15.0</v>
      </c>
      <c r="E150" s="37">
        <f t="shared" si="4"/>
        <v>15</v>
      </c>
    </row>
    <row r="151">
      <c r="A151" s="8"/>
      <c r="C151" s="3"/>
      <c r="D151" s="1"/>
      <c r="E151" s="1"/>
    </row>
    <row r="152">
      <c r="A152" s="8" t="s">
        <v>94</v>
      </c>
      <c r="C152" s="3">
        <v>60.0</v>
      </c>
      <c r="D152" s="3">
        <v>60.0</v>
      </c>
      <c r="E152" s="1"/>
    </row>
    <row r="153">
      <c r="A153" s="8" t="s">
        <v>95</v>
      </c>
      <c r="C153" s="3">
        <v>200.0</v>
      </c>
      <c r="D153" s="3">
        <v>200.0</v>
      </c>
      <c r="E153" s="1"/>
    </row>
    <row r="154">
      <c r="A154" s="8" t="s">
        <v>96</v>
      </c>
      <c r="C154" s="3">
        <v>100.0</v>
      </c>
      <c r="D154" s="3">
        <v>100.0</v>
      </c>
      <c r="E154" s="1"/>
    </row>
    <row r="155">
      <c r="A155" s="8" t="s">
        <v>97</v>
      </c>
      <c r="C155" s="3">
        <v>110.0</v>
      </c>
      <c r="D155" s="3">
        <v>100.0</v>
      </c>
      <c r="E155" s="1"/>
    </row>
    <row r="156">
      <c r="A156" s="8" t="s">
        <v>98</v>
      </c>
      <c r="C156" s="3">
        <v>30.76</v>
      </c>
      <c r="D156" s="1"/>
      <c r="E156" s="1"/>
    </row>
    <row r="157">
      <c r="A157" s="8" t="s">
        <v>99</v>
      </c>
      <c r="C157" s="3">
        <v>320.0</v>
      </c>
      <c r="D157" s="3">
        <v>380.0</v>
      </c>
      <c r="E157" s="37">
        <f>SUM(D157 - C157)</f>
        <v>60</v>
      </c>
    </row>
    <row r="158">
      <c r="A158" s="8" t="s">
        <v>100</v>
      </c>
      <c r="C158" s="3">
        <v>18.49</v>
      </c>
      <c r="D158" s="1"/>
      <c r="E158" s="1"/>
    </row>
    <row r="159">
      <c r="A159" s="8" t="s">
        <v>101</v>
      </c>
      <c r="C159" s="3">
        <v>33.41</v>
      </c>
      <c r="D159" s="1"/>
      <c r="E159" s="1"/>
    </row>
    <row r="160">
      <c r="A160" s="8" t="s">
        <v>102</v>
      </c>
      <c r="C160" s="3">
        <v>26.0</v>
      </c>
      <c r="D160" s="1"/>
      <c r="E160" s="1"/>
    </row>
    <row r="161">
      <c r="A161" s="8" t="s">
        <v>103</v>
      </c>
      <c r="C161" s="3">
        <v>11.32</v>
      </c>
      <c r="D161" s="1"/>
      <c r="E161" s="1"/>
    </row>
    <row r="162">
      <c r="A162" s="8" t="s">
        <v>104</v>
      </c>
      <c r="C162" s="3">
        <v>149.0</v>
      </c>
      <c r="D162" s="3">
        <v>210.0</v>
      </c>
      <c r="E162" s="37">
        <f t="shared" ref="E162:E164" si="5">SUM(D162 - C162)</f>
        <v>61</v>
      </c>
    </row>
    <row r="163">
      <c r="A163" s="8" t="s">
        <v>105</v>
      </c>
      <c r="C163" s="3">
        <v>80.0</v>
      </c>
      <c r="D163" s="3">
        <v>123.0</v>
      </c>
      <c r="E163" s="37">
        <f t="shared" si="5"/>
        <v>43</v>
      </c>
    </row>
    <row r="164">
      <c r="A164" s="8" t="s">
        <v>106</v>
      </c>
      <c r="C164" s="3">
        <v>80.0</v>
      </c>
      <c r="D164" s="3">
        <v>80.0</v>
      </c>
      <c r="E164" s="37">
        <f t="shared" si="5"/>
        <v>0</v>
      </c>
    </row>
    <row r="165">
      <c r="A165" s="8" t="s">
        <v>107</v>
      </c>
      <c r="C165" s="3">
        <v>66.99</v>
      </c>
      <c r="D165" s="1"/>
      <c r="E165" s="1"/>
    </row>
    <row r="166">
      <c r="A166" s="8" t="s">
        <v>108</v>
      </c>
      <c r="C166" s="3">
        <v>85.0</v>
      </c>
      <c r="D166" s="1"/>
      <c r="E166" s="1"/>
    </row>
    <row r="167">
      <c r="A167" s="8" t="s">
        <v>109</v>
      </c>
      <c r="C167" s="3">
        <v>80.0</v>
      </c>
      <c r="D167" s="3">
        <v>110.0</v>
      </c>
      <c r="E167" s="37">
        <f>SUM(D167 - C167)</f>
        <v>30</v>
      </c>
    </row>
    <row r="168">
      <c r="A168" s="8" t="s">
        <v>110</v>
      </c>
      <c r="C168" s="3">
        <v>42.0</v>
      </c>
      <c r="D168" s="1"/>
      <c r="E168" s="1"/>
    </row>
    <row r="169">
      <c r="A169" s="8" t="s">
        <v>111</v>
      </c>
      <c r="C169" s="3">
        <v>60.0</v>
      </c>
      <c r="D169" s="1"/>
      <c r="E169" s="1"/>
    </row>
    <row r="170">
      <c r="A170" s="8" t="s">
        <v>112</v>
      </c>
      <c r="C170" s="3">
        <v>16.0</v>
      </c>
      <c r="D170" s="1"/>
      <c r="E170" s="1"/>
    </row>
    <row r="171">
      <c r="A171" s="8" t="s">
        <v>113</v>
      </c>
      <c r="C171" s="3">
        <v>23.4</v>
      </c>
      <c r="D171" s="1"/>
      <c r="E171" s="1"/>
    </row>
    <row r="172">
      <c r="A172" s="8" t="s">
        <v>114</v>
      </c>
      <c r="C172" s="3">
        <v>450.0</v>
      </c>
      <c r="D172" s="1"/>
      <c r="E172" s="1"/>
    </row>
    <row r="173">
      <c r="A173" s="8" t="s">
        <v>115</v>
      </c>
      <c r="C173" s="3">
        <v>52.0</v>
      </c>
      <c r="D173" s="1"/>
      <c r="E173" s="1"/>
    </row>
    <row r="174">
      <c r="A174" s="8" t="s">
        <v>116</v>
      </c>
      <c r="C174" s="3">
        <v>17.0</v>
      </c>
      <c r="D174" s="1"/>
      <c r="E174" s="1"/>
    </row>
    <row r="175">
      <c r="A175" s="8" t="s">
        <v>117</v>
      </c>
      <c r="C175" s="3">
        <v>32.0</v>
      </c>
      <c r="D175" s="1"/>
      <c r="E175" s="1"/>
    </row>
    <row r="176">
      <c r="A176" s="8" t="s">
        <v>118</v>
      </c>
      <c r="C176" s="3">
        <v>34.0</v>
      </c>
      <c r="D176" s="1"/>
      <c r="E176" s="1"/>
    </row>
    <row r="177">
      <c r="A177" s="8" t="s">
        <v>119</v>
      </c>
      <c r="C177" s="3">
        <v>34.0</v>
      </c>
      <c r="D177" s="1"/>
      <c r="E177" s="1"/>
    </row>
    <row r="178">
      <c r="A178" s="8" t="s">
        <v>120</v>
      </c>
      <c r="C178" s="3">
        <v>19.0</v>
      </c>
      <c r="D178" s="1"/>
      <c r="E178" s="1"/>
    </row>
    <row r="179">
      <c r="A179" s="8" t="s">
        <v>121</v>
      </c>
      <c r="C179" s="3">
        <v>40.0</v>
      </c>
      <c r="D179" s="1"/>
      <c r="E179" s="1"/>
    </row>
    <row r="180">
      <c r="A180" s="8" t="s">
        <v>122</v>
      </c>
      <c r="C180" s="3">
        <v>300.0</v>
      </c>
      <c r="D180" s="3">
        <v>450.0</v>
      </c>
      <c r="E180" s="37">
        <f>SUM(D180 - C180)</f>
        <v>150</v>
      </c>
    </row>
    <row r="181">
      <c r="C181" s="1"/>
      <c r="D181" s="1"/>
      <c r="E181" s="1"/>
    </row>
    <row r="182">
      <c r="A182" s="38">
        <v>45139.0</v>
      </c>
    </row>
    <row r="184">
      <c r="A184" s="8" t="s">
        <v>123</v>
      </c>
      <c r="C184" s="3">
        <v>150.0</v>
      </c>
      <c r="D184" s="3">
        <v>450.0</v>
      </c>
      <c r="E184" s="37">
        <f t="shared" ref="E184:E193" si="6">SUM(D184 - C184)</f>
        <v>300</v>
      </c>
    </row>
    <row r="185">
      <c r="A185" s="8" t="s">
        <v>124</v>
      </c>
      <c r="C185" s="39">
        <v>100.0</v>
      </c>
      <c r="D185" s="3">
        <v>200.0</v>
      </c>
      <c r="E185" s="37">
        <f t="shared" si="6"/>
        <v>100</v>
      </c>
    </row>
    <row r="186">
      <c r="A186" s="8" t="s">
        <v>125</v>
      </c>
      <c r="C186" s="3">
        <v>160.0</v>
      </c>
      <c r="D186" s="3">
        <v>260.0</v>
      </c>
      <c r="E186" s="37">
        <f t="shared" si="6"/>
        <v>100</v>
      </c>
    </row>
    <row r="187">
      <c r="A187" s="6" t="s">
        <v>126</v>
      </c>
      <c r="C187" s="3">
        <v>170.0</v>
      </c>
      <c r="D187" s="3">
        <v>250.0</v>
      </c>
      <c r="E187" s="37">
        <f t="shared" si="6"/>
        <v>80</v>
      </c>
    </row>
    <row r="188">
      <c r="A188" s="8" t="s">
        <v>127</v>
      </c>
      <c r="C188" s="3">
        <v>350.0</v>
      </c>
      <c r="D188" s="3">
        <v>650.0</v>
      </c>
      <c r="E188" s="37">
        <f t="shared" si="6"/>
        <v>300</v>
      </c>
    </row>
    <row r="189">
      <c r="A189" s="6" t="s">
        <v>128</v>
      </c>
      <c r="C189" s="3">
        <v>150.0</v>
      </c>
      <c r="D189" s="3">
        <v>300.0</v>
      </c>
      <c r="E189" s="37">
        <f t="shared" si="6"/>
        <v>150</v>
      </c>
    </row>
    <row r="190">
      <c r="A190" s="8" t="s">
        <v>129</v>
      </c>
      <c r="C190" s="3">
        <v>100.0</v>
      </c>
      <c r="D190" s="3">
        <v>200.0</v>
      </c>
      <c r="E190" s="37">
        <f t="shared" si="6"/>
        <v>100</v>
      </c>
    </row>
    <row r="191">
      <c r="A191" s="8" t="s">
        <v>130</v>
      </c>
      <c r="C191" s="3">
        <v>0.0</v>
      </c>
      <c r="D191" s="3">
        <v>150.0</v>
      </c>
      <c r="E191" s="37">
        <f t="shared" si="6"/>
        <v>150</v>
      </c>
    </row>
    <row r="192">
      <c r="A192" s="6" t="s">
        <v>131</v>
      </c>
      <c r="C192" s="8">
        <v>75.0</v>
      </c>
      <c r="E192" s="37">
        <f t="shared" si="6"/>
        <v>-75</v>
      </c>
    </row>
    <row r="193">
      <c r="A193" s="8" t="s">
        <v>132</v>
      </c>
      <c r="C193" s="40">
        <v>200.0</v>
      </c>
      <c r="D193" s="1"/>
      <c r="E193" s="37">
        <f t="shared" si="6"/>
        <v>-200</v>
      </c>
    </row>
    <row r="194">
      <c r="C194" s="1"/>
      <c r="D194" s="1"/>
      <c r="E194" s="1"/>
    </row>
    <row r="195">
      <c r="C195" s="1"/>
      <c r="D195" s="1"/>
      <c r="E195" s="1"/>
    </row>
    <row r="196">
      <c r="C196" s="1"/>
      <c r="D196" s="1"/>
      <c r="E196" s="1"/>
    </row>
    <row r="197">
      <c r="C197" s="1"/>
      <c r="D197" s="1"/>
      <c r="E197" s="1"/>
    </row>
    <row r="198">
      <c r="C198" s="1"/>
      <c r="D198" s="1"/>
      <c r="E198" s="1"/>
    </row>
    <row r="199">
      <c r="C199" s="1"/>
      <c r="D199" s="1"/>
      <c r="E199" s="1"/>
    </row>
    <row r="200">
      <c r="C200" s="1"/>
      <c r="D200" s="1"/>
      <c r="E200" s="1"/>
    </row>
    <row r="201">
      <c r="C201" s="30">
        <f t="shared" ref="C201:D201" si="7">SUM(C184:C200)</f>
        <v>1455</v>
      </c>
      <c r="D201" s="30">
        <f t="shared" si="7"/>
        <v>2460</v>
      </c>
      <c r="E201" s="31">
        <f>SUM(D201 - C201)</f>
        <v>1005</v>
      </c>
    </row>
    <row r="202">
      <c r="C202" s="1"/>
      <c r="D202" s="1"/>
      <c r="E202" s="1"/>
    </row>
    <row r="203">
      <c r="C203" s="1"/>
      <c r="D203" s="1"/>
      <c r="E203" s="1"/>
    </row>
    <row r="204">
      <c r="C204" s="1"/>
      <c r="D204" s="1"/>
      <c r="E204" s="1"/>
    </row>
    <row r="205">
      <c r="A205" s="41">
        <v>45261.0</v>
      </c>
      <c r="C205" s="1"/>
      <c r="D205" s="1"/>
      <c r="E205" s="1"/>
    </row>
    <row r="206">
      <c r="C206" s="1"/>
      <c r="D206" s="1"/>
      <c r="E206" s="1"/>
    </row>
    <row r="207">
      <c r="A207" s="8" t="s">
        <v>133</v>
      </c>
      <c r="C207" s="3">
        <v>650.0</v>
      </c>
      <c r="D207" s="3">
        <v>250.0</v>
      </c>
      <c r="E207" s="1"/>
    </row>
    <row r="208">
      <c r="A208" s="8" t="s">
        <v>134</v>
      </c>
      <c r="C208" s="1"/>
      <c r="D208" s="3">
        <v>300.0</v>
      </c>
      <c r="E208" s="1"/>
    </row>
    <row r="209">
      <c r="A209" s="8" t="s">
        <v>135</v>
      </c>
      <c r="C209" s="1"/>
      <c r="D209" s="3">
        <v>100.0</v>
      </c>
      <c r="E209" s="1"/>
    </row>
    <row r="210">
      <c r="A210" s="8" t="s">
        <v>136</v>
      </c>
      <c r="C210" s="1"/>
      <c r="D210" s="3">
        <v>120.0</v>
      </c>
      <c r="E210" s="1"/>
    </row>
    <row r="211">
      <c r="A211" s="8" t="s">
        <v>137</v>
      </c>
      <c r="C211" s="1"/>
      <c r="D211" s="3">
        <v>200.0</v>
      </c>
      <c r="E211" s="1"/>
    </row>
    <row r="212">
      <c r="C212" s="1"/>
      <c r="D212" s="1"/>
      <c r="E212" s="1"/>
    </row>
    <row r="213">
      <c r="A213" s="8" t="s">
        <v>138</v>
      </c>
      <c r="C213" s="3">
        <v>350.0</v>
      </c>
      <c r="D213" s="1"/>
      <c r="E213" s="1"/>
    </row>
    <row r="214">
      <c r="C214" s="1"/>
      <c r="D214" s="1"/>
      <c r="E214" s="1"/>
    </row>
    <row r="215">
      <c r="C215" s="1"/>
      <c r="D215" s="1"/>
      <c r="E215" s="1"/>
    </row>
    <row r="216">
      <c r="C216" s="1"/>
      <c r="D216" s="42">
        <f>SUM(D207:D214) - 650</f>
        <v>320</v>
      </c>
      <c r="E216" s="1"/>
    </row>
    <row r="217">
      <c r="C217" s="1"/>
      <c r="D217" s="1"/>
      <c r="E217" s="1"/>
    </row>
    <row r="218">
      <c r="C218" s="1"/>
      <c r="D218" s="1"/>
      <c r="E218" s="1"/>
    </row>
    <row r="219">
      <c r="C219" s="1"/>
      <c r="D219" s="1"/>
      <c r="E219" s="1"/>
    </row>
    <row r="220">
      <c r="A220" s="6" t="s">
        <v>139</v>
      </c>
      <c r="C220" s="1"/>
      <c r="D220" s="1"/>
      <c r="E220" s="1"/>
    </row>
    <row r="221">
      <c r="C221" s="1"/>
      <c r="D221" s="1"/>
      <c r="E221" s="3"/>
    </row>
    <row r="222">
      <c r="A222" s="8" t="s">
        <v>140</v>
      </c>
      <c r="C222" s="3">
        <v>500.0</v>
      </c>
      <c r="D222" s="3">
        <v>550.0</v>
      </c>
      <c r="E222" s="43">
        <f>SUM(D222 - C222)</f>
        <v>50</v>
      </c>
    </row>
    <row r="223">
      <c r="A223" s="8" t="s">
        <v>141</v>
      </c>
      <c r="C223" s="3">
        <v>320.0</v>
      </c>
      <c r="D223" s="1"/>
      <c r="E223" s="1"/>
    </row>
    <row r="224">
      <c r="A224" s="44" t="s">
        <v>142</v>
      </c>
      <c r="C224" s="3">
        <v>70.0</v>
      </c>
      <c r="D224" s="1"/>
      <c r="E224" s="1"/>
    </row>
    <row r="225">
      <c r="A225" s="8" t="s">
        <v>143</v>
      </c>
      <c r="C225" s="3">
        <v>700.0</v>
      </c>
      <c r="D225" s="3">
        <v>700.0</v>
      </c>
      <c r="E225" s="3">
        <v>0.0</v>
      </c>
    </row>
    <row r="226">
      <c r="A226" s="8" t="s">
        <v>144</v>
      </c>
      <c r="C226" s="3">
        <v>400.0</v>
      </c>
      <c r="D226" s="1"/>
      <c r="E226" s="1"/>
    </row>
    <row r="227">
      <c r="A227" s="8" t="s">
        <v>145</v>
      </c>
      <c r="C227" s="3">
        <v>710.0</v>
      </c>
      <c r="D227" s="3">
        <v>320.0</v>
      </c>
      <c r="E227" s="1"/>
    </row>
    <row r="228">
      <c r="A228" s="8" t="s">
        <v>132</v>
      </c>
      <c r="C228" s="3">
        <v>200.0</v>
      </c>
      <c r="D228" s="3">
        <v>200.0</v>
      </c>
      <c r="E228" s="3">
        <v>0.0</v>
      </c>
    </row>
    <row r="229">
      <c r="A229" s="8" t="s">
        <v>146</v>
      </c>
      <c r="C229" s="3">
        <v>100.0</v>
      </c>
      <c r="D229" s="3">
        <v>150.0</v>
      </c>
      <c r="E229" s="1"/>
    </row>
    <row r="230">
      <c r="A230" s="8" t="s">
        <v>147</v>
      </c>
      <c r="C230" s="3">
        <v>600.0</v>
      </c>
      <c r="D230" s="3">
        <v>600.0</v>
      </c>
      <c r="E230" s="1"/>
    </row>
    <row r="231">
      <c r="C231" s="30">
        <f>SUM(C214:C230)</f>
        <v>3600</v>
      </c>
      <c r="D231" s="30">
        <f>SUM(D218:D230)</f>
        <v>2520</v>
      </c>
      <c r="E231" s="31">
        <f>SUM(D231 - C231)</f>
        <v>-1080</v>
      </c>
    </row>
    <row r="232">
      <c r="C232" s="1"/>
      <c r="D232" s="1"/>
      <c r="E232" s="1"/>
    </row>
    <row r="233">
      <c r="C233" s="1"/>
      <c r="D233" s="1"/>
      <c r="E233" s="1"/>
    </row>
    <row r="234">
      <c r="C234" s="1"/>
      <c r="D234" s="1"/>
      <c r="E234" s="1"/>
    </row>
    <row r="235">
      <c r="A235" s="8" t="s">
        <v>148</v>
      </c>
      <c r="C235" s="1"/>
      <c r="D235" s="1"/>
      <c r="E235" s="1"/>
    </row>
    <row r="236">
      <c r="A236" s="8" t="s">
        <v>145</v>
      </c>
      <c r="C236" s="3">
        <v>710.0</v>
      </c>
      <c r="D236" s="3">
        <v>320.0</v>
      </c>
      <c r="E236" s="1"/>
    </row>
    <row r="237">
      <c r="A237" s="8" t="s">
        <v>146</v>
      </c>
      <c r="C237" s="3">
        <v>100.0</v>
      </c>
      <c r="D237" s="3">
        <v>150.0</v>
      </c>
      <c r="E237" s="1"/>
    </row>
    <row r="238">
      <c r="A238" s="8" t="s">
        <v>147</v>
      </c>
      <c r="C238" s="3">
        <v>600.0</v>
      </c>
      <c r="D238" s="3">
        <v>600.0</v>
      </c>
      <c r="E238" s="1"/>
    </row>
    <row r="239">
      <c r="A239" s="8" t="s">
        <v>149</v>
      </c>
      <c r="C239" s="3">
        <v>590.0</v>
      </c>
      <c r="D239" s="1"/>
      <c r="E239" s="1"/>
    </row>
    <row r="240">
      <c r="A240" s="8" t="s">
        <v>150</v>
      </c>
      <c r="C240" s="3">
        <v>25.0</v>
      </c>
      <c r="D240" s="1"/>
      <c r="E240" s="1"/>
    </row>
    <row r="241">
      <c r="A241" s="8" t="s">
        <v>151</v>
      </c>
      <c r="C241" s="3">
        <v>160.0</v>
      </c>
      <c r="D241" s="3">
        <v>170.0</v>
      </c>
      <c r="E241" s="1"/>
    </row>
    <row r="242">
      <c r="C242" s="1"/>
      <c r="D242" s="1"/>
      <c r="E242" s="1"/>
    </row>
    <row r="243">
      <c r="C243" s="1"/>
      <c r="D243" s="1"/>
      <c r="E243" s="1"/>
    </row>
    <row r="244">
      <c r="C244" s="1"/>
      <c r="D244" s="1"/>
      <c r="E244" s="1"/>
    </row>
    <row r="245">
      <c r="C245" s="1"/>
      <c r="D245" s="1"/>
      <c r="E245" s="1"/>
    </row>
    <row r="246">
      <c r="A246" s="8" t="s">
        <v>152</v>
      </c>
      <c r="C246" s="1"/>
      <c r="D246" s="1"/>
      <c r="E246" s="1"/>
    </row>
    <row r="247">
      <c r="C247" s="1"/>
      <c r="D247" s="1"/>
      <c r="E247" s="1"/>
    </row>
    <row r="248">
      <c r="A248" s="8" t="s">
        <v>153</v>
      </c>
      <c r="C248" s="3">
        <v>215.65</v>
      </c>
      <c r="D248" s="1"/>
      <c r="E248" s="1"/>
    </row>
    <row r="249">
      <c r="A249" s="8" t="s">
        <v>154</v>
      </c>
      <c r="C249" s="3">
        <v>187.49</v>
      </c>
      <c r="D249" s="1"/>
      <c r="E249" s="1"/>
    </row>
    <row r="250">
      <c r="A250" s="8" t="s">
        <v>12</v>
      </c>
      <c r="D250" s="8">
        <v>30.0</v>
      </c>
    </row>
    <row r="251">
      <c r="A251" s="8" t="s">
        <v>155</v>
      </c>
      <c r="D251" s="8">
        <v>30.0</v>
      </c>
    </row>
    <row r="252">
      <c r="A252" s="8" t="s">
        <v>156</v>
      </c>
      <c r="D252" s="8">
        <v>28.0</v>
      </c>
    </row>
    <row r="253">
      <c r="A253" s="8" t="s">
        <v>157</v>
      </c>
    </row>
    <row r="254">
      <c r="A254" s="8" t="s">
        <v>26</v>
      </c>
      <c r="D254" s="8">
        <v>20.0</v>
      </c>
    </row>
    <row r="255">
      <c r="A255" s="8" t="s">
        <v>158</v>
      </c>
    </row>
    <row r="256">
      <c r="A256" s="8" t="s">
        <v>159</v>
      </c>
      <c r="C256" s="8">
        <v>35.0</v>
      </c>
    </row>
    <row r="257">
      <c r="A257" s="8" t="s">
        <v>160</v>
      </c>
      <c r="C257" s="3">
        <v>20.0</v>
      </c>
      <c r="D257" s="3">
        <v>20.0</v>
      </c>
      <c r="E257" s="1"/>
    </row>
    <row r="258">
      <c r="A258" s="8" t="s">
        <v>161</v>
      </c>
      <c r="C258" s="3">
        <v>300.0</v>
      </c>
      <c r="D258" s="3">
        <v>220.0</v>
      </c>
      <c r="E258" s="1"/>
    </row>
    <row r="259">
      <c r="A259" s="8" t="s">
        <v>162</v>
      </c>
      <c r="C259" s="3">
        <v>400.0</v>
      </c>
      <c r="D259" s="1"/>
      <c r="E259" s="1"/>
    </row>
    <row r="260">
      <c r="A260" s="8" t="s">
        <v>163</v>
      </c>
      <c r="C260" s="3">
        <v>185.0</v>
      </c>
      <c r="D260" s="1"/>
      <c r="E260" s="1"/>
    </row>
    <row r="261">
      <c r="C261" s="1"/>
      <c r="D261" s="1"/>
      <c r="E261" s="1"/>
    </row>
    <row r="262">
      <c r="C262" s="1"/>
      <c r="D262" s="1"/>
      <c r="E262" s="1"/>
    </row>
    <row r="263">
      <c r="C263" s="1"/>
      <c r="D263" s="1"/>
      <c r="E263" s="1"/>
    </row>
    <row r="264">
      <c r="C264" s="1"/>
      <c r="D264" s="1"/>
      <c r="E264" s="1"/>
    </row>
    <row r="265">
      <c r="C265" s="1"/>
      <c r="D265" s="1"/>
      <c r="E265" s="1"/>
    </row>
    <row r="266">
      <c r="C266" s="1"/>
      <c r="D266" s="1"/>
      <c r="E266" s="1"/>
    </row>
    <row r="267">
      <c r="C267" s="1"/>
      <c r="D267" s="1"/>
      <c r="E267" s="1"/>
    </row>
    <row r="268">
      <c r="C268" s="1"/>
      <c r="D268" s="1"/>
      <c r="E268" s="1"/>
    </row>
    <row r="269">
      <c r="C269" s="1"/>
      <c r="D269" s="1"/>
      <c r="E269" s="1"/>
    </row>
    <row r="270">
      <c r="C270" s="1"/>
      <c r="D270" s="1"/>
      <c r="E270" s="1"/>
    </row>
    <row r="271">
      <c r="C271" s="1"/>
      <c r="D271" s="1"/>
      <c r="E271" s="1"/>
    </row>
    <row r="272">
      <c r="C272" s="1"/>
      <c r="D272" s="1"/>
      <c r="E272" s="1"/>
    </row>
    <row r="273">
      <c r="C273" s="1"/>
      <c r="D273" s="1"/>
      <c r="E273" s="1"/>
    </row>
    <row r="274">
      <c r="C274" s="1"/>
      <c r="D274" s="1"/>
      <c r="E274" s="1"/>
    </row>
    <row r="275">
      <c r="C275" s="1"/>
      <c r="D275" s="1"/>
      <c r="E275" s="1"/>
    </row>
    <row r="276">
      <c r="C276" s="1"/>
      <c r="D276" s="1"/>
      <c r="E276" s="1"/>
    </row>
    <row r="277">
      <c r="C277" s="1"/>
      <c r="D277" s="1"/>
      <c r="E277" s="1"/>
    </row>
    <row r="278">
      <c r="C278" s="1"/>
      <c r="D278" s="1"/>
      <c r="E278" s="1"/>
    </row>
    <row r="279">
      <c r="C279" s="1"/>
      <c r="D279" s="1"/>
      <c r="E279" s="1"/>
    </row>
    <row r="280">
      <c r="C280" s="1"/>
      <c r="D280" s="1"/>
      <c r="E280" s="1"/>
    </row>
    <row r="281">
      <c r="C281" s="1"/>
      <c r="D281" s="1"/>
      <c r="E281" s="1"/>
    </row>
    <row r="282">
      <c r="C282" s="1"/>
      <c r="D282" s="1"/>
      <c r="E282" s="1"/>
    </row>
    <row r="283">
      <c r="C283" s="1"/>
      <c r="D283" s="1"/>
      <c r="E283" s="1"/>
    </row>
    <row r="284">
      <c r="C284" s="1"/>
      <c r="D284" s="1"/>
      <c r="E284" s="1"/>
    </row>
    <row r="285">
      <c r="C285" s="1"/>
      <c r="D285" s="1"/>
      <c r="E285" s="1"/>
    </row>
    <row r="286">
      <c r="C286" s="1"/>
      <c r="D286" s="1"/>
      <c r="E286" s="1"/>
    </row>
    <row r="287">
      <c r="C287" s="1"/>
      <c r="D287" s="1"/>
      <c r="E287" s="1"/>
    </row>
    <row r="288">
      <c r="C288" s="1"/>
      <c r="D288" s="1"/>
      <c r="E288" s="1"/>
    </row>
    <row r="289">
      <c r="C289" s="1"/>
      <c r="D289" s="1"/>
      <c r="E289" s="1"/>
    </row>
    <row r="290">
      <c r="C290" s="1"/>
      <c r="D290" s="1"/>
      <c r="E290" s="1"/>
    </row>
    <row r="291">
      <c r="C291" s="1"/>
      <c r="D291" s="1"/>
      <c r="E291" s="1"/>
    </row>
    <row r="292">
      <c r="C292" s="1"/>
      <c r="D292" s="1"/>
      <c r="E292" s="1"/>
    </row>
    <row r="293">
      <c r="C293" s="1"/>
      <c r="D293" s="1"/>
      <c r="E293" s="1"/>
    </row>
    <row r="294">
      <c r="C294" s="1"/>
      <c r="D294" s="1"/>
      <c r="E294" s="1"/>
    </row>
    <row r="295">
      <c r="C295" s="1"/>
      <c r="D295" s="1"/>
      <c r="E295" s="1"/>
    </row>
    <row r="296">
      <c r="C296" s="1"/>
      <c r="D296" s="1"/>
      <c r="E296" s="1"/>
    </row>
    <row r="297">
      <c r="C297" s="1"/>
      <c r="D297" s="1"/>
      <c r="E297" s="1"/>
    </row>
    <row r="298">
      <c r="C298" s="1"/>
      <c r="D298" s="1"/>
      <c r="E298" s="1"/>
    </row>
    <row r="299">
      <c r="C299" s="1"/>
      <c r="D299" s="1"/>
      <c r="E299" s="1"/>
    </row>
    <row r="300">
      <c r="C300" s="1"/>
      <c r="D300" s="1"/>
      <c r="E300" s="1"/>
    </row>
    <row r="301">
      <c r="C301" s="1"/>
      <c r="D301" s="1"/>
      <c r="E301" s="1"/>
    </row>
    <row r="302">
      <c r="C302" s="1"/>
      <c r="D302" s="1"/>
      <c r="E302" s="1"/>
    </row>
    <row r="303">
      <c r="C303" s="1"/>
      <c r="D303" s="1"/>
      <c r="E303" s="1"/>
    </row>
    <row r="304">
      <c r="C304" s="1"/>
      <c r="D304" s="1"/>
      <c r="E304" s="1"/>
    </row>
    <row r="305">
      <c r="C305" s="1"/>
      <c r="D305" s="1"/>
      <c r="E305" s="1"/>
    </row>
    <row r="306">
      <c r="C306" s="1"/>
      <c r="D306" s="1"/>
      <c r="E306" s="1"/>
    </row>
    <row r="307">
      <c r="C307" s="1"/>
      <c r="D307" s="1"/>
      <c r="E307" s="1"/>
    </row>
    <row r="308">
      <c r="C308" s="1"/>
      <c r="D308" s="1"/>
      <c r="E308" s="1"/>
    </row>
    <row r="309">
      <c r="C309" s="1"/>
      <c r="D309" s="1"/>
      <c r="E309" s="1"/>
    </row>
    <row r="310">
      <c r="C310" s="1"/>
      <c r="D310" s="1"/>
      <c r="E310" s="1"/>
    </row>
    <row r="311">
      <c r="C311" s="1"/>
      <c r="D311" s="1"/>
      <c r="E311" s="1"/>
    </row>
    <row r="312">
      <c r="C312" s="1"/>
      <c r="D312" s="1"/>
      <c r="E312" s="1"/>
    </row>
    <row r="313">
      <c r="C313" s="1"/>
      <c r="D313" s="1"/>
      <c r="E313" s="1"/>
    </row>
    <row r="314">
      <c r="C314" s="1"/>
      <c r="D314" s="1"/>
      <c r="E314" s="1"/>
    </row>
    <row r="315">
      <c r="C315" s="1"/>
      <c r="D315" s="1"/>
      <c r="E315" s="1"/>
    </row>
    <row r="316">
      <c r="C316" s="1"/>
      <c r="D316" s="1"/>
      <c r="E316" s="1"/>
    </row>
    <row r="317">
      <c r="C317" s="1"/>
      <c r="D317" s="1"/>
      <c r="E317" s="1"/>
    </row>
    <row r="318">
      <c r="C318" s="1"/>
      <c r="D318" s="1"/>
      <c r="E318" s="1"/>
    </row>
    <row r="319">
      <c r="C319" s="1"/>
      <c r="D319" s="1"/>
      <c r="E319" s="1"/>
    </row>
    <row r="320">
      <c r="C320" s="1"/>
      <c r="D320" s="1"/>
      <c r="E320" s="1"/>
    </row>
    <row r="321">
      <c r="C321" s="1"/>
      <c r="D321" s="1"/>
      <c r="E321" s="1"/>
    </row>
    <row r="322">
      <c r="C322" s="1"/>
      <c r="D322" s="1"/>
      <c r="E322" s="1"/>
    </row>
    <row r="323">
      <c r="C323" s="1"/>
      <c r="D323" s="1"/>
      <c r="E323" s="1"/>
    </row>
    <row r="324">
      <c r="C324" s="1"/>
      <c r="D324" s="1"/>
      <c r="E324" s="1"/>
    </row>
    <row r="325">
      <c r="C325" s="1"/>
      <c r="D325" s="1"/>
      <c r="E325" s="1"/>
    </row>
    <row r="326">
      <c r="C326" s="1"/>
      <c r="D326" s="1"/>
      <c r="E326" s="1"/>
    </row>
    <row r="327">
      <c r="C327" s="1"/>
      <c r="D327" s="1"/>
      <c r="E327" s="1"/>
    </row>
    <row r="328">
      <c r="C328" s="1"/>
      <c r="D328" s="1"/>
      <c r="E328" s="1"/>
    </row>
    <row r="329">
      <c r="C329" s="1"/>
      <c r="D329" s="1"/>
      <c r="E329" s="1"/>
    </row>
    <row r="330">
      <c r="C330" s="1"/>
      <c r="D330" s="1"/>
      <c r="E330" s="1"/>
    </row>
    <row r="331">
      <c r="C331" s="1"/>
      <c r="D331" s="1"/>
      <c r="E331" s="1"/>
    </row>
    <row r="332">
      <c r="C332" s="1"/>
      <c r="D332" s="1"/>
      <c r="E332" s="1"/>
    </row>
    <row r="333">
      <c r="C333" s="1"/>
      <c r="D333" s="1"/>
      <c r="E333" s="1"/>
    </row>
    <row r="334">
      <c r="C334" s="1"/>
      <c r="D334" s="1"/>
      <c r="E334" s="1"/>
    </row>
    <row r="335">
      <c r="C335" s="1"/>
      <c r="D335" s="1"/>
      <c r="E335" s="1"/>
    </row>
    <row r="336">
      <c r="C336" s="1"/>
      <c r="D336" s="1"/>
      <c r="E336" s="1"/>
    </row>
    <row r="337">
      <c r="C337" s="1"/>
      <c r="D337" s="1"/>
      <c r="E337" s="1"/>
    </row>
    <row r="338">
      <c r="C338" s="1"/>
      <c r="D338" s="1"/>
      <c r="E338" s="1"/>
    </row>
    <row r="339">
      <c r="C339" s="1"/>
      <c r="D339" s="1"/>
      <c r="E339" s="1"/>
    </row>
    <row r="340">
      <c r="C340" s="1"/>
      <c r="D340" s="1"/>
      <c r="E340" s="1"/>
    </row>
    <row r="341">
      <c r="C341" s="1"/>
      <c r="D341" s="1"/>
      <c r="E341" s="1"/>
    </row>
    <row r="342">
      <c r="C342" s="1"/>
      <c r="D342" s="1"/>
      <c r="E342" s="1"/>
    </row>
    <row r="343">
      <c r="C343" s="1"/>
      <c r="D343" s="1"/>
      <c r="E343" s="1"/>
    </row>
    <row r="344">
      <c r="C344" s="1"/>
      <c r="D344" s="1"/>
      <c r="E344" s="1"/>
    </row>
    <row r="345">
      <c r="C345" s="1"/>
      <c r="D345" s="1"/>
      <c r="E345" s="1"/>
    </row>
    <row r="346">
      <c r="C346" s="1"/>
      <c r="D346" s="1"/>
      <c r="E346" s="1"/>
    </row>
    <row r="347">
      <c r="C347" s="1"/>
      <c r="D347" s="1"/>
      <c r="E347" s="1"/>
    </row>
    <row r="348">
      <c r="C348" s="1"/>
      <c r="D348" s="1"/>
      <c r="E348" s="1"/>
    </row>
    <row r="349">
      <c r="C349" s="1"/>
      <c r="D349" s="1"/>
      <c r="E349" s="1"/>
    </row>
    <row r="350">
      <c r="C350" s="1"/>
      <c r="D350" s="1"/>
      <c r="E350" s="1"/>
    </row>
    <row r="351">
      <c r="C351" s="1"/>
      <c r="D351" s="1"/>
      <c r="E351" s="1"/>
    </row>
    <row r="352">
      <c r="C352" s="1"/>
      <c r="D352" s="1"/>
      <c r="E352" s="1"/>
    </row>
    <row r="353">
      <c r="C353" s="1"/>
      <c r="D353" s="1"/>
      <c r="E353" s="1"/>
    </row>
    <row r="354">
      <c r="C354" s="1"/>
      <c r="D354" s="1"/>
      <c r="E354" s="1"/>
    </row>
    <row r="355">
      <c r="C355" s="1"/>
      <c r="D355" s="1"/>
      <c r="E355" s="1"/>
    </row>
    <row r="356">
      <c r="C356" s="1"/>
      <c r="D356" s="1"/>
      <c r="E356" s="1"/>
    </row>
    <row r="357">
      <c r="C357" s="1"/>
      <c r="D357" s="1"/>
      <c r="E357" s="1"/>
    </row>
    <row r="358">
      <c r="C358" s="1"/>
      <c r="D358" s="1"/>
      <c r="E358" s="1"/>
    </row>
    <row r="359">
      <c r="C359" s="1"/>
      <c r="D359" s="1"/>
      <c r="E359" s="1"/>
    </row>
    <row r="360">
      <c r="C360" s="1"/>
      <c r="D360" s="1"/>
      <c r="E360" s="1"/>
    </row>
    <row r="361">
      <c r="C361" s="1"/>
      <c r="D361" s="1"/>
      <c r="E361" s="1"/>
    </row>
    <row r="362">
      <c r="C362" s="1"/>
      <c r="D362" s="1"/>
      <c r="E362" s="1"/>
    </row>
    <row r="363">
      <c r="C363" s="1"/>
      <c r="D363" s="1"/>
      <c r="E363" s="1"/>
    </row>
    <row r="364">
      <c r="C364" s="1"/>
      <c r="D364" s="1"/>
      <c r="E364" s="1"/>
    </row>
    <row r="365">
      <c r="C365" s="1"/>
      <c r="D365" s="1"/>
      <c r="E365" s="1"/>
    </row>
    <row r="366">
      <c r="C366" s="1"/>
      <c r="D366" s="1"/>
      <c r="E366" s="1"/>
    </row>
    <row r="367">
      <c r="C367" s="1"/>
      <c r="D367" s="1"/>
      <c r="E367" s="1"/>
    </row>
    <row r="368">
      <c r="C368" s="1"/>
      <c r="D368" s="1"/>
      <c r="E368" s="1"/>
    </row>
    <row r="369">
      <c r="C369" s="1"/>
      <c r="D369" s="1"/>
      <c r="E369" s="1"/>
    </row>
    <row r="370">
      <c r="C370" s="1"/>
      <c r="D370" s="1"/>
      <c r="E370" s="1"/>
    </row>
    <row r="371">
      <c r="C371" s="1"/>
      <c r="D371" s="1"/>
      <c r="E371" s="1"/>
    </row>
    <row r="372">
      <c r="C372" s="1"/>
      <c r="D372" s="1"/>
      <c r="E372" s="1"/>
    </row>
    <row r="373">
      <c r="C373" s="1"/>
      <c r="D373" s="1"/>
      <c r="E373" s="1"/>
    </row>
    <row r="374">
      <c r="C374" s="1"/>
      <c r="D374" s="1"/>
      <c r="E374" s="1"/>
    </row>
    <row r="375">
      <c r="C375" s="1"/>
      <c r="D375" s="1"/>
      <c r="E375" s="1"/>
    </row>
    <row r="376">
      <c r="C376" s="1"/>
      <c r="D376" s="1"/>
      <c r="E376" s="1"/>
    </row>
    <row r="377">
      <c r="C377" s="1"/>
      <c r="D377" s="1"/>
      <c r="E377" s="1"/>
    </row>
    <row r="378">
      <c r="C378" s="1"/>
      <c r="D378" s="1"/>
      <c r="E378" s="1"/>
    </row>
    <row r="379">
      <c r="C379" s="1"/>
      <c r="D379" s="1"/>
      <c r="E379" s="1"/>
    </row>
    <row r="380">
      <c r="C380" s="1"/>
      <c r="D380" s="1"/>
      <c r="E380" s="1"/>
    </row>
    <row r="381">
      <c r="C381" s="1"/>
      <c r="D381" s="1"/>
      <c r="E381" s="1"/>
    </row>
    <row r="382">
      <c r="C382" s="1"/>
      <c r="D382" s="1"/>
      <c r="E382" s="1"/>
    </row>
    <row r="383">
      <c r="C383" s="1"/>
      <c r="D383" s="1"/>
      <c r="E383" s="1"/>
    </row>
    <row r="384">
      <c r="C384" s="1"/>
      <c r="D384" s="1"/>
      <c r="E384" s="1"/>
    </row>
    <row r="385">
      <c r="C385" s="1"/>
      <c r="D385" s="1"/>
      <c r="E385" s="1"/>
    </row>
    <row r="386">
      <c r="C386" s="1"/>
      <c r="D386" s="1"/>
      <c r="E386" s="1"/>
    </row>
    <row r="387">
      <c r="C387" s="1"/>
      <c r="D387" s="1"/>
      <c r="E387" s="1"/>
    </row>
    <row r="388">
      <c r="C388" s="1"/>
      <c r="D388" s="1"/>
      <c r="E388" s="1"/>
    </row>
    <row r="389">
      <c r="C389" s="1"/>
      <c r="D389" s="1"/>
      <c r="E389" s="1"/>
    </row>
    <row r="390">
      <c r="C390" s="1"/>
      <c r="D390" s="1"/>
      <c r="E390" s="1"/>
    </row>
    <row r="391">
      <c r="C391" s="1"/>
      <c r="D391" s="1"/>
      <c r="E391" s="1"/>
    </row>
    <row r="392">
      <c r="C392" s="1"/>
      <c r="D392" s="1"/>
      <c r="E392" s="1"/>
    </row>
    <row r="393">
      <c r="C393" s="1"/>
      <c r="D393" s="1"/>
      <c r="E393" s="1"/>
    </row>
    <row r="394">
      <c r="C394" s="1"/>
      <c r="D394" s="1"/>
      <c r="E394" s="1"/>
    </row>
    <row r="395">
      <c r="C395" s="1"/>
      <c r="D395" s="1"/>
      <c r="E395" s="1"/>
    </row>
    <row r="396">
      <c r="C396" s="1"/>
      <c r="D396" s="1"/>
      <c r="E396" s="1"/>
    </row>
    <row r="397">
      <c r="C397" s="1"/>
      <c r="D397" s="1"/>
      <c r="E397" s="1"/>
    </row>
    <row r="398">
      <c r="C398" s="1"/>
      <c r="D398" s="1"/>
      <c r="E398" s="1"/>
    </row>
    <row r="399">
      <c r="C399" s="1"/>
      <c r="D399" s="1"/>
      <c r="E399" s="1"/>
    </row>
    <row r="400">
      <c r="C400" s="1"/>
      <c r="D400" s="1"/>
      <c r="E400" s="1"/>
    </row>
    <row r="401">
      <c r="C401" s="1"/>
      <c r="D401" s="1"/>
      <c r="E401" s="1"/>
    </row>
    <row r="402">
      <c r="C402" s="1"/>
      <c r="D402" s="1"/>
      <c r="E402" s="1"/>
    </row>
    <row r="403">
      <c r="C403" s="1"/>
      <c r="D403" s="1"/>
      <c r="E403" s="1"/>
    </row>
    <row r="404">
      <c r="C404" s="1"/>
      <c r="D404" s="1"/>
      <c r="E404" s="1"/>
    </row>
    <row r="405">
      <c r="C405" s="1"/>
      <c r="D405" s="1"/>
      <c r="E405" s="1"/>
    </row>
    <row r="406">
      <c r="C406" s="1"/>
      <c r="D406" s="1"/>
      <c r="E406" s="1"/>
    </row>
    <row r="407">
      <c r="C407" s="1"/>
      <c r="D407" s="1"/>
      <c r="E407" s="1"/>
    </row>
    <row r="408">
      <c r="C408" s="1"/>
      <c r="D408" s="1"/>
      <c r="E408" s="1"/>
    </row>
    <row r="409">
      <c r="C409" s="1"/>
      <c r="D409" s="1"/>
      <c r="E409" s="1"/>
    </row>
    <row r="410">
      <c r="C410" s="1"/>
      <c r="D410" s="1"/>
      <c r="E410" s="1"/>
    </row>
    <row r="411">
      <c r="C411" s="1"/>
      <c r="D411" s="1"/>
      <c r="E411" s="1"/>
    </row>
    <row r="412">
      <c r="C412" s="1"/>
      <c r="D412" s="1"/>
      <c r="E412" s="1"/>
    </row>
    <row r="413">
      <c r="C413" s="1"/>
      <c r="D413" s="1"/>
      <c r="E413" s="1"/>
    </row>
    <row r="414">
      <c r="C414" s="1"/>
      <c r="D414" s="1"/>
      <c r="E414" s="1"/>
    </row>
    <row r="415">
      <c r="C415" s="1"/>
      <c r="D415" s="1"/>
      <c r="E415" s="1"/>
    </row>
    <row r="416">
      <c r="C416" s="1"/>
      <c r="D416" s="1"/>
      <c r="E416" s="1"/>
    </row>
    <row r="417">
      <c r="C417" s="1"/>
      <c r="D417" s="1"/>
      <c r="E417" s="1"/>
    </row>
    <row r="418">
      <c r="C418" s="1"/>
      <c r="D418" s="1"/>
      <c r="E418" s="1"/>
    </row>
    <row r="419">
      <c r="C419" s="1"/>
      <c r="D419" s="1"/>
      <c r="E419" s="1"/>
    </row>
    <row r="420">
      <c r="C420" s="1"/>
      <c r="D420" s="1"/>
      <c r="E420" s="1"/>
    </row>
    <row r="421">
      <c r="C421" s="1"/>
      <c r="D421" s="1"/>
      <c r="E421" s="1"/>
    </row>
    <row r="422">
      <c r="C422" s="1"/>
      <c r="D422" s="1"/>
      <c r="E422" s="1"/>
    </row>
    <row r="423">
      <c r="C423" s="1"/>
      <c r="D423" s="1"/>
      <c r="E423" s="1"/>
    </row>
    <row r="424">
      <c r="C424" s="1"/>
      <c r="D424" s="1"/>
      <c r="E424" s="1"/>
    </row>
    <row r="425">
      <c r="C425" s="1"/>
      <c r="D425" s="1"/>
      <c r="E425" s="1"/>
    </row>
    <row r="426">
      <c r="C426" s="1"/>
      <c r="D426" s="1"/>
      <c r="E426" s="1"/>
    </row>
    <row r="427">
      <c r="C427" s="1"/>
      <c r="D427" s="1"/>
      <c r="E427" s="1"/>
    </row>
    <row r="428">
      <c r="C428" s="1"/>
      <c r="D428" s="1"/>
      <c r="E428" s="1"/>
    </row>
    <row r="429">
      <c r="C429" s="1"/>
      <c r="D429" s="1"/>
      <c r="E429" s="1"/>
    </row>
    <row r="430">
      <c r="C430" s="1"/>
      <c r="D430" s="1"/>
      <c r="E430" s="1"/>
    </row>
    <row r="431">
      <c r="C431" s="1"/>
      <c r="D431" s="1"/>
      <c r="E431" s="1"/>
    </row>
    <row r="432">
      <c r="C432" s="1"/>
      <c r="D432" s="1"/>
      <c r="E432" s="1"/>
    </row>
    <row r="433">
      <c r="C433" s="1"/>
      <c r="D433" s="1"/>
      <c r="E433" s="1"/>
    </row>
    <row r="434">
      <c r="C434" s="1"/>
      <c r="D434" s="1"/>
      <c r="E434" s="1"/>
    </row>
    <row r="435">
      <c r="C435" s="1"/>
      <c r="D435" s="1"/>
      <c r="E435" s="1"/>
    </row>
    <row r="436">
      <c r="C436" s="1"/>
      <c r="D436" s="1"/>
      <c r="E436" s="1"/>
    </row>
    <row r="437">
      <c r="C437" s="1"/>
      <c r="D437" s="1"/>
      <c r="E437" s="1"/>
    </row>
    <row r="438">
      <c r="C438" s="1"/>
      <c r="D438" s="1"/>
      <c r="E438" s="1"/>
    </row>
    <row r="439">
      <c r="C439" s="1"/>
      <c r="D439" s="1"/>
      <c r="E439" s="1"/>
    </row>
    <row r="440">
      <c r="C440" s="1"/>
      <c r="D440" s="1"/>
      <c r="E440" s="1"/>
    </row>
    <row r="441">
      <c r="C441" s="1"/>
      <c r="D441" s="1"/>
      <c r="E441" s="1"/>
    </row>
    <row r="442">
      <c r="C442" s="1"/>
      <c r="D442" s="1"/>
      <c r="E442" s="1"/>
    </row>
    <row r="443">
      <c r="C443" s="1"/>
      <c r="D443" s="1"/>
      <c r="E443" s="1"/>
    </row>
    <row r="444">
      <c r="C444" s="1"/>
      <c r="D444" s="1"/>
      <c r="E444" s="1"/>
    </row>
    <row r="445">
      <c r="C445" s="1"/>
      <c r="D445" s="1"/>
      <c r="E445" s="1"/>
    </row>
    <row r="446">
      <c r="C446" s="1"/>
      <c r="D446" s="1"/>
      <c r="E446" s="1"/>
    </row>
    <row r="447">
      <c r="C447" s="1"/>
      <c r="D447" s="1"/>
      <c r="E447" s="1"/>
    </row>
    <row r="448">
      <c r="C448" s="1"/>
      <c r="D448" s="1"/>
      <c r="E448" s="1"/>
    </row>
    <row r="449">
      <c r="C449" s="1"/>
      <c r="D449" s="1"/>
      <c r="E449" s="1"/>
    </row>
    <row r="450">
      <c r="C450" s="1"/>
      <c r="D450" s="1"/>
      <c r="E450" s="1"/>
    </row>
    <row r="451">
      <c r="C451" s="1"/>
      <c r="D451" s="1"/>
      <c r="E451" s="1"/>
    </row>
    <row r="452">
      <c r="C452" s="1"/>
      <c r="D452" s="1"/>
      <c r="E452" s="1"/>
    </row>
    <row r="453">
      <c r="C453" s="1"/>
      <c r="D453" s="1"/>
      <c r="E453" s="1"/>
    </row>
    <row r="454">
      <c r="C454" s="1"/>
      <c r="D454" s="1"/>
      <c r="E454" s="1"/>
    </row>
    <row r="455">
      <c r="C455" s="1"/>
      <c r="D455" s="1"/>
      <c r="E455" s="1"/>
    </row>
    <row r="456">
      <c r="C456" s="1"/>
      <c r="D456" s="1"/>
      <c r="E456" s="1"/>
    </row>
    <row r="457">
      <c r="C457" s="1"/>
      <c r="D457" s="1"/>
      <c r="E457" s="1"/>
    </row>
    <row r="458">
      <c r="C458" s="1"/>
      <c r="D458" s="1"/>
      <c r="E458" s="1"/>
    </row>
    <row r="459">
      <c r="C459" s="1"/>
      <c r="D459" s="1"/>
      <c r="E459" s="1"/>
    </row>
    <row r="460">
      <c r="C460" s="1"/>
      <c r="D460" s="1"/>
      <c r="E460" s="1"/>
    </row>
    <row r="461">
      <c r="C461" s="1"/>
      <c r="D461" s="1"/>
      <c r="E461" s="1"/>
    </row>
    <row r="462">
      <c r="C462" s="1"/>
      <c r="D462" s="1"/>
      <c r="E462" s="1"/>
    </row>
    <row r="463">
      <c r="C463" s="1"/>
      <c r="D463" s="1"/>
      <c r="E463" s="1"/>
    </row>
    <row r="464">
      <c r="C464" s="1"/>
      <c r="D464" s="1"/>
      <c r="E464" s="1"/>
    </row>
    <row r="465">
      <c r="C465" s="1"/>
      <c r="D465" s="1"/>
      <c r="E465" s="1"/>
    </row>
    <row r="466">
      <c r="C466" s="1"/>
      <c r="D466" s="1"/>
      <c r="E466" s="1"/>
    </row>
    <row r="467">
      <c r="C467" s="1"/>
      <c r="D467" s="1"/>
      <c r="E467" s="1"/>
    </row>
    <row r="468">
      <c r="C468" s="1"/>
      <c r="D468" s="1"/>
      <c r="E468" s="1"/>
    </row>
    <row r="469">
      <c r="C469" s="1"/>
      <c r="D469" s="1"/>
      <c r="E469" s="1"/>
    </row>
    <row r="470">
      <c r="C470" s="1"/>
      <c r="D470" s="1"/>
      <c r="E470" s="1"/>
    </row>
    <row r="471">
      <c r="C471" s="1"/>
      <c r="D471" s="1"/>
      <c r="E471" s="1"/>
    </row>
    <row r="472">
      <c r="C472" s="1"/>
      <c r="D472" s="1"/>
      <c r="E472" s="1"/>
    </row>
    <row r="473">
      <c r="C473" s="1"/>
      <c r="D473" s="1"/>
      <c r="E473" s="1"/>
    </row>
    <row r="474">
      <c r="C474" s="1"/>
      <c r="D474" s="1"/>
      <c r="E474" s="1"/>
    </row>
    <row r="475">
      <c r="C475" s="1"/>
      <c r="D475" s="1"/>
      <c r="E475" s="1"/>
    </row>
    <row r="476">
      <c r="C476" s="1"/>
      <c r="D476" s="1"/>
      <c r="E476" s="1"/>
    </row>
    <row r="477">
      <c r="C477" s="1"/>
      <c r="D477" s="1"/>
      <c r="E477" s="1"/>
    </row>
    <row r="478">
      <c r="C478" s="1"/>
      <c r="D478" s="1"/>
      <c r="E478" s="1"/>
    </row>
    <row r="479">
      <c r="C479" s="1"/>
      <c r="D479" s="1"/>
      <c r="E479" s="1"/>
    </row>
    <row r="480">
      <c r="C480" s="1"/>
      <c r="D480" s="1"/>
      <c r="E480" s="1"/>
    </row>
    <row r="481">
      <c r="C481" s="1"/>
      <c r="D481" s="1"/>
      <c r="E481" s="1"/>
    </row>
    <row r="482">
      <c r="C482" s="1"/>
      <c r="D482" s="1"/>
      <c r="E482" s="1"/>
    </row>
    <row r="483">
      <c r="C483" s="1"/>
      <c r="D483" s="1"/>
      <c r="E483" s="1"/>
    </row>
    <row r="484">
      <c r="C484" s="1"/>
      <c r="D484" s="1"/>
      <c r="E484" s="1"/>
    </row>
    <row r="485">
      <c r="C485" s="1"/>
      <c r="D485" s="1"/>
      <c r="E485" s="1"/>
    </row>
    <row r="486">
      <c r="C486" s="1"/>
      <c r="D486" s="1"/>
      <c r="E486" s="1"/>
    </row>
    <row r="487">
      <c r="C487" s="1"/>
      <c r="D487" s="1"/>
      <c r="E487" s="1"/>
    </row>
    <row r="488">
      <c r="C488" s="1"/>
      <c r="D488" s="1"/>
      <c r="E488" s="1"/>
    </row>
    <row r="489">
      <c r="C489" s="1"/>
      <c r="D489" s="1"/>
      <c r="E489" s="1"/>
    </row>
    <row r="490">
      <c r="C490" s="1"/>
      <c r="D490" s="1"/>
      <c r="E490" s="1"/>
    </row>
    <row r="491">
      <c r="C491" s="1"/>
      <c r="D491" s="1"/>
      <c r="E491" s="1"/>
    </row>
    <row r="492">
      <c r="C492" s="1"/>
      <c r="D492" s="1"/>
      <c r="E492" s="1"/>
    </row>
    <row r="493">
      <c r="C493" s="1"/>
      <c r="D493" s="1"/>
      <c r="E493" s="1"/>
    </row>
    <row r="494">
      <c r="C494" s="1"/>
      <c r="D494" s="1"/>
      <c r="E494" s="1"/>
    </row>
    <row r="495">
      <c r="C495" s="1"/>
      <c r="D495" s="1"/>
      <c r="E495" s="1"/>
    </row>
    <row r="496">
      <c r="C496" s="1"/>
      <c r="D496" s="1"/>
      <c r="E496" s="1"/>
    </row>
    <row r="497">
      <c r="C497" s="1"/>
      <c r="D497" s="1"/>
      <c r="E497" s="1"/>
    </row>
    <row r="498">
      <c r="C498" s="1"/>
      <c r="D498" s="1"/>
      <c r="E498" s="1"/>
    </row>
    <row r="499">
      <c r="C499" s="1"/>
      <c r="D499" s="1"/>
      <c r="E499" s="1"/>
    </row>
    <row r="500">
      <c r="C500" s="1"/>
      <c r="D500" s="1"/>
      <c r="E500" s="1"/>
    </row>
    <row r="501">
      <c r="C501" s="1"/>
      <c r="D501" s="1"/>
      <c r="E501" s="1"/>
    </row>
    <row r="502">
      <c r="C502" s="1"/>
      <c r="D502" s="1"/>
      <c r="E502" s="1"/>
    </row>
    <row r="503">
      <c r="C503" s="1"/>
      <c r="D503" s="1"/>
      <c r="E503" s="1"/>
    </row>
    <row r="504">
      <c r="C504" s="1"/>
      <c r="D504" s="1"/>
      <c r="E504" s="1"/>
    </row>
    <row r="505">
      <c r="C505" s="1"/>
      <c r="D505" s="1"/>
      <c r="E505" s="1"/>
    </row>
    <row r="506">
      <c r="C506" s="1"/>
      <c r="D506" s="1"/>
      <c r="E506" s="1"/>
    </row>
    <row r="507">
      <c r="C507" s="1"/>
      <c r="D507" s="1"/>
      <c r="E507" s="1"/>
    </row>
    <row r="508">
      <c r="C508" s="1"/>
      <c r="D508" s="1"/>
      <c r="E508" s="1"/>
    </row>
    <row r="509">
      <c r="C509" s="1"/>
      <c r="D509" s="1"/>
      <c r="E509" s="1"/>
    </row>
    <row r="510">
      <c r="C510" s="1"/>
      <c r="D510" s="1"/>
      <c r="E510" s="1"/>
    </row>
    <row r="511">
      <c r="C511" s="1"/>
      <c r="D511" s="1"/>
      <c r="E511" s="1"/>
    </row>
    <row r="512">
      <c r="C512" s="1"/>
      <c r="D512" s="1"/>
      <c r="E512" s="1"/>
    </row>
    <row r="513">
      <c r="C513" s="1"/>
      <c r="D513" s="1"/>
      <c r="E513" s="1"/>
    </row>
    <row r="514">
      <c r="C514" s="1"/>
      <c r="D514" s="1"/>
      <c r="E514" s="1"/>
    </row>
    <row r="515">
      <c r="C515" s="1"/>
      <c r="D515" s="1"/>
      <c r="E515" s="1"/>
    </row>
    <row r="516">
      <c r="C516" s="1"/>
      <c r="D516" s="1"/>
      <c r="E516" s="1"/>
    </row>
    <row r="517">
      <c r="C517" s="1"/>
      <c r="D517" s="1"/>
      <c r="E517" s="1"/>
    </row>
    <row r="518">
      <c r="C518" s="1"/>
      <c r="D518" s="1"/>
      <c r="E518" s="1"/>
    </row>
    <row r="519">
      <c r="C519" s="1"/>
      <c r="D519" s="1"/>
      <c r="E519" s="1"/>
    </row>
    <row r="520">
      <c r="C520" s="1"/>
      <c r="D520" s="1"/>
      <c r="E520" s="1"/>
    </row>
    <row r="521">
      <c r="C521" s="1"/>
      <c r="D521" s="1"/>
      <c r="E521" s="1"/>
    </row>
    <row r="522">
      <c r="C522" s="1"/>
      <c r="D522" s="1"/>
      <c r="E522" s="1"/>
    </row>
    <row r="523">
      <c r="C523" s="1"/>
      <c r="D523" s="1"/>
      <c r="E523" s="1"/>
    </row>
    <row r="524">
      <c r="C524" s="1"/>
      <c r="D524" s="1"/>
      <c r="E524" s="1"/>
    </row>
    <row r="525">
      <c r="C525" s="1"/>
      <c r="D525" s="1"/>
      <c r="E525" s="1"/>
    </row>
    <row r="526">
      <c r="C526" s="1"/>
      <c r="D526" s="1"/>
      <c r="E526" s="1"/>
    </row>
    <row r="527">
      <c r="C527" s="1"/>
      <c r="D527" s="1"/>
      <c r="E527" s="1"/>
    </row>
    <row r="528">
      <c r="C528" s="1"/>
      <c r="D528" s="1"/>
      <c r="E528" s="1"/>
    </row>
    <row r="529">
      <c r="C529" s="1"/>
      <c r="D529" s="1"/>
      <c r="E529" s="1"/>
    </row>
    <row r="530">
      <c r="C530" s="1"/>
      <c r="D530" s="1"/>
      <c r="E530" s="1"/>
    </row>
    <row r="531">
      <c r="C531" s="1"/>
      <c r="D531" s="1"/>
      <c r="E531" s="1"/>
    </row>
    <row r="532">
      <c r="C532" s="1"/>
      <c r="D532" s="1"/>
      <c r="E532" s="1"/>
    </row>
    <row r="533">
      <c r="C533" s="1"/>
      <c r="D533" s="1"/>
      <c r="E533" s="1"/>
    </row>
    <row r="534">
      <c r="C534" s="1"/>
      <c r="D534" s="1"/>
      <c r="E534" s="1"/>
    </row>
    <row r="535">
      <c r="C535" s="1"/>
      <c r="D535" s="1"/>
      <c r="E535" s="1"/>
    </row>
    <row r="536">
      <c r="C536" s="1"/>
      <c r="D536" s="1"/>
      <c r="E536" s="1"/>
    </row>
    <row r="537">
      <c r="C537" s="1"/>
      <c r="D537" s="1"/>
      <c r="E537" s="1"/>
    </row>
    <row r="538">
      <c r="C538" s="1"/>
      <c r="D538" s="1"/>
      <c r="E538" s="1"/>
    </row>
    <row r="539">
      <c r="C539" s="1"/>
      <c r="D539" s="1"/>
      <c r="E539" s="1"/>
    </row>
    <row r="540">
      <c r="C540" s="1"/>
      <c r="D540" s="1"/>
      <c r="E540" s="1"/>
    </row>
    <row r="541">
      <c r="C541" s="1"/>
      <c r="D541" s="1"/>
      <c r="E541" s="1"/>
    </row>
    <row r="542">
      <c r="C542" s="1"/>
      <c r="D542" s="1"/>
      <c r="E542" s="1"/>
    </row>
    <row r="543">
      <c r="C543" s="1"/>
      <c r="D543" s="1"/>
      <c r="E543" s="1"/>
    </row>
    <row r="544">
      <c r="C544" s="1"/>
      <c r="D544" s="1"/>
      <c r="E544" s="1"/>
    </row>
    <row r="545">
      <c r="C545" s="1"/>
      <c r="D545" s="1"/>
      <c r="E545" s="1"/>
    </row>
    <row r="546">
      <c r="C546" s="1"/>
      <c r="D546" s="1"/>
      <c r="E546" s="1"/>
    </row>
    <row r="547">
      <c r="C547" s="1"/>
      <c r="D547" s="1"/>
      <c r="E547" s="1"/>
    </row>
    <row r="548">
      <c r="C548" s="1"/>
      <c r="D548" s="1"/>
      <c r="E548" s="1"/>
    </row>
    <row r="549">
      <c r="C549" s="1"/>
      <c r="D549" s="1"/>
      <c r="E549" s="1"/>
    </row>
    <row r="550">
      <c r="C550" s="1"/>
      <c r="D550" s="1"/>
      <c r="E550" s="1"/>
    </row>
    <row r="551">
      <c r="C551" s="1"/>
      <c r="D551" s="1"/>
      <c r="E551" s="1"/>
    </row>
    <row r="552">
      <c r="C552" s="1"/>
      <c r="D552" s="1"/>
      <c r="E552" s="1"/>
    </row>
    <row r="553">
      <c r="C553" s="1"/>
      <c r="D553" s="1"/>
      <c r="E553" s="1"/>
    </row>
    <row r="554">
      <c r="C554" s="1"/>
      <c r="D554" s="1"/>
      <c r="E554" s="1"/>
    </row>
    <row r="555">
      <c r="C555" s="1"/>
      <c r="D555" s="1"/>
      <c r="E555" s="1"/>
    </row>
    <row r="556">
      <c r="C556" s="1"/>
      <c r="D556" s="1"/>
      <c r="E556" s="1"/>
    </row>
    <row r="557">
      <c r="C557" s="1"/>
      <c r="D557" s="1"/>
      <c r="E557" s="1"/>
    </row>
    <row r="558">
      <c r="C558" s="1"/>
      <c r="D558" s="1"/>
      <c r="E558" s="1"/>
    </row>
    <row r="559">
      <c r="C559" s="1"/>
      <c r="D559" s="1"/>
      <c r="E559" s="1"/>
    </row>
    <row r="560">
      <c r="C560" s="1"/>
      <c r="D560" s="1"/>
      <c r="E560" s="1"/>
    </row>
    <row r="561">
      <c r="C561" s="1"/>
      <c r="D561" s="1"/>
      <c r="E561" s="1"/>
    </row>
    <row r="562">
      <c r="C562" s="1"/>
      <c r="D562" s="1"/>
      <c r="E562" s="1"/>
    </row>
    <row r="563">
      <c r="C563" s="1"/>
      <c r="D563" s="1"/>
      <c r="E563" s="1"/>
    </row>
    <row r="564">
      <c r="C564" s="1"/>
      <c r="D564" s="1"/>
      <c r="E564" s="1"/>
    </row>
    <row r="565">
      <c r="C565" s="1"/>
      <c r="D565" s="1"/>
      <c r="E565" s="1"/>
    </row>
    <row r="566">
      <c r="C566" s="1"/>
      <c r="D566" s="1"/>
      <c r="E566" s="1"/>
    </row>
    <row r="567">
      <c r="C567" s="1"/>
      <c r="D567" s="1"/>
      <c r="E567" s="1"/>
    </row>
    <row r="568">
      <c r="C568" s="1"/>
      <c r="D568" s="1"/>
      <c r="E568" s="1"/>
    </row>
    <row r="569">
      <c r="C569" s="1"/>
      <c r="D569" s="1"/>
      <c r="E569" s="1"/>
    </row>
    <row r="570">
      <c r="C570" s="1"/>
      <c r="D570" s="1"/>
      <c r="E570" s="1"/>
    </row>
    <row r="571">
      <c r="C571" s="1"/>
      <c r="D571" s="1"/>
      <c r="E571" s="1"/>
    </row>
    <row r="572">
      <c r="C572" s="1"/>
      <c r="D572" s="1"/>
      <c r="E572" s="1"/>
    </row>
    <row r="573">
      <c r="C573" s="1"/>
      <c r="D573" s="1"/>
      <c r="E573" s="1"/>
    </row>
    <row r="574">
      <c r="C574" s="1"/>
      <c r="D574" s="1"/>
      <c r="E574" s="1"/>
    </row>
    <row r="575">
      <c r="C575" s="1"/>
      <c r="D575" s="1"/>
      <c r="E575" s="1"/>
    </row>
    <row r="576">
      <c r="C576" s="1"/>
      <c r="D576" s="1"/>
      <c r="E576" s="1"/>
    </row>
    <row r="577">
      <c r="C577" s="1"/>
      <c r="D577" s="1"/>
      <c r="E577" s="1"/>
    </row>
    <row r="578">
      <c r="C578" s="1"/>
      <c r="D578" s="1"/>
      <c r="E578" s="1"/>
    </row>
    <row r="579">
      <c r="C579" s="1"/>
      <c r="D579" s="1"/>
      <c r="E579" s="1"/>
    </row>
    <row r="580">
      <c r="C580" s="1"/>
      <c r="D580" s="1"/>
      <c r="E580" s="1"/>
    </row>
    <row r="581">
      <c r="C581" s="1"/>
      <c r="D581" s="1"/>
      <c r="E581" s="1"/>
    </row>
    <row r="582">
      <c r="C582" s="1"/>
      <c r="D582" s="1"/>
      <c r="E582" s="1"/>
    </row>
    <row r="583">
      <c r="C583" s="1"/>
      <c r="D583" s="1"/>
      <c r="E583" s="1"/>
    </row>
    <row r="584">
      <c r="C584" s="1"/>
      <c r="D584" s="1"/>
      <c r="E584" s="1"/>
    </row>
    <row r="585">
      <c r="C585" s="1"/>
      <c r="D585" s="1"/>
      <c r="E585" s="1"/>
    </row>
    <row r="586">
      <c r="C586" s="1"/>
      <c r="D586" s="1"/>
      <c r="E586" s="1"/>
    </row>
    <row r="587">
      <c r="C587" s="1"/>
      <c r="D587" s="1"/>
      <c r="E587" s="1"/>
    </row>
    <row r="588">
      <c r="C588" s="1"/>
      <c r="D588" s="1"/>
      <c r="E588" s="1"/>
    </row>
    <row r="589">
      <c r="C589" s="1"/>
      <c r="D589" s="1"/>
      <c r="E589" s="1"/>
    </row>
    <row r="590">
      <c r="C590" s="1"/>
      <c r="D590" s="1"/>
      <c r="E590" s="1"/>
    </row>
    <row r="591">
      <c r="C591" s="1"/>
      <c r="D591" s="1"/>
      <c r="E591" s="1"/>
    </row>
    <row r="592">
      <c r="C592" s="1"/>
      <c r="D592" s="1"/>
      <c r="E592" s="1"/>
    </row>
    <row r="593">
      <c r="C593" s="1"/>
      <c r="D593" s="1"/>
      <c r="E593" s="1"/>
    </row>
    <row r="594">
      <c r="C594" s="1"/>
      <c r="D594" s="1"/>
      <c r="E594" s="1"/>
    </row>
    <row r="595">
      <c r="C595" s="1"/>
      <c r="D595" s="1"/>
      <c r="E595" s="1"/>
    </row>
    <row r="596">
      <c r="C596" s="1"/>
      <c r="D596" s="1"/>
      <c r="E596" s="1"/>
    </row>
    <row r="597">
      <c r="C597" s="1"/>
      <c r="D597" s="1"/>
      <c r="E597" s="1"/>
    </row>
    <row r="598">
      <c r="C598" s="1"/>
      <c r="D598" s="1"/>
      <c r="E598" s="1"/>
    </row>
    <row r="599">
      <c r="C599" s="1"/>
      <c r="D599" s="1"/>
      <c r="E599" s="1"/>
    </row>
    <row r="600">
      <c r="C600" s="1"/>
      <c r="D600" s="1"/>
      <c r="E600" s="1"/>
    </row>
    <row r="601">
      <c r="C601" s="1"/>
      <c r="D601" s="1"/>
      <c r="E601" s="1"/>
    </row>
    <row r="602">
      <c r="C602" s="1"/>
      <c r="D602" s="1"/>
      <c r="E602" s="1"/>
    </row>
    <row r="603">
      <c r="C603" s="1"/>
      <c r="D603" s="1"/>
      <c r="E603" s="1"/>
    </row>
    <row r="604">
      <c r="C604" s="1"/>
      <c r="D604" s="1"/>
      <c r="E604" s="1"/>
    </row>
    <row r="605">
      <c r="C605" s="1"/>
      <c r="D605" s="1"/>
      <c r="E605" s="1"/>
    </row>
    <row r="606">
      <c r="C606" s="1"/>
      <c r="D606" s="1"/>
      <c r="E606" s="1"/>
    </row>
    <row r="607">
      <c r="C607" s="1"/>
      <c r="D607" s="1"/>
      <c r="E607" s="1"/>
    </row>
    <row r="608">
      <c r="C608" s="1"/>
      <c r="D608" s="1"/>
      <c r="E608" s="1"/>
    </row>
    <row r="609">
      <c r="C609" s="1"/>
      <c r="D609" s="1"/>
      <c r="E609" s="1"/>
    </row>
    <row r="610">
      <c r="C610" s="1"/>
      <c r="D610" s="1"/>
      <c r="E610" s="1"/>
    </row>
    <row r="611">
      <c r="C611" s="1"/>
      <c r="D611" s="1"/>
      <c r="E611" s="1"/>
    </row>
    <row r="612">
      <c r="C612" s="1"/>
      <c r="D612" s="1"/>
      <c r="E612" s="1"/>
    </row>
    <row r="613">
      <c r="C613" s="1"/>
      <c r="D613" s="1"/>
      <c r="E613" s="1"/>
    </row>
    <row r="614">
      <c r="C614" s="1"/>
      <c r="D614" s="1"/>
      <c r="E614" s="1"/>
    </row>
    <row r="615">
      <c r="C615" s="1"/>
      <c r="D615" s="1"/>
      <c r="E615" s="1"/>
    </row>
    <row r="616">
      <c r="C616" s="1"/>
      <c r="D616" s="1"/>
      <c r="E616" s="1"/>
    </row>
    <row r="617">
      <c r="C617" s="1"/>
      <c r="D617" s="1"/>
      <c r="E617" s="1"/>
    </row>
    <row r="618">
      <c r="C618" s="1"/>
      <c r="D618" s="1"/>
      <c r="E618" s="1"/>
    </row>
    <row r="619">
      <c r="C619" s="1"/>
      <c r="D619" s="1"/>
      <c r="E619" s="1"/>
    </row>
    <row r="620">
      <c r="C620" s="1"/>
      <c r="D620" s="1"/>
      <c r="E620" s="1"/>
    </row>
    <row r="621">
      <c r="C621" s="1"/>
      <c r="D621" s="1"/>
      <c r="E621" s="1"/>
    </row>
    <row r="622">
      <c r="C622" s="1"/>
      <c r="D622" s="1"/>
      <c r="E622" s="1"/>
    </row>
    <row r="623">
      <c r="C623" s="1"/>
      <c r="D623" s="1"/>
      <c r="E623" s="1"/>
    </row>
    <row r="624">
      <c r="C624" s="1"/>
      <c r="D624" s="1"/>
      <c r="E624" s="1"/>
    </row>
    <row r="625">
      <c r="C625" s="1"/>
      <c r="D625" s="1"/>
      <c r="E625" s="1"/>
    </row>
    <row r="626">
      <c r="C626" s="1"/>
      <c r="D626" s="1"/>
      <c r="E626" s="1"/>
    </row>
    <row r="627">
      <c r="C627" s="1"/>
      <c r="D627" s="1"/>
      <c r="E627" s="1"/>
    </row>
    <row r="628">
      <c r="C628" s="1"/>
      <c r="D628" s="1"/>
      <c r="E628" s="1"/>
    </row>
    <row r="629">
      <c r="C629" s="1"/>
      <c r="D629" s="1"/>
      <c r="E629" s="1"/>
    </row>
    <row r="630">
      <c r="C630" s="1"/>
      <c r="D630" s="1"/>
      <c r="E630" s="1"/>
    </row>
    <row r="631">
      <c r="C631" s="1"/>
      <c r="D631" s="1"/>
      <c r="E631" s="1"/>
    </row>
    <row r="632">
      <c r="C632" s="1"/>
      <c r="D632" s="1"/>
      <c r="E632" s="1"/>
    </row>
    <row r="633">
      <c r="C633" s="1"/>
      <c r="D633" s="1"/>
      <c r="E633" s="1"/>
    </row>
    <row r="634">
      <c r="C634" s="1"/>
      <c r="D634" s="1"/>
      <c r="E634" s="1"/>
    </row>
    <row r="635">
      <c r="C635" s="1"/>
      <c r="D635" s="1"/>
      <c r="E635" s="1"/>
    </row>
    <row r="636">
      <c r="C636" s="1"/>
      <c r="D636" s="1"/>
      <c r="E636" s="1"/>
    </row>
    <row r="637">
      <c r="C637" s="1"/>
      <c r="D637" s="1"/>
      <c r="E637" s="1"/>
    </row>
    <row r="638">
      <c r="C638" s="1"/>
      <c r="D638" s="1"/>
      <c r="E638" s="1"/>
    </row>
    <row r="639">
      <c r="C639" s="1"/>
      <c r="D639" s="1"/>
      <c r="E639" s="1"/>
    </row>
    <row r="640">
      <c r="C640" s="1"/>
      <c r="D640" s="1"/>
      <c r="E640" s="1"/>
    </row>
    <row r="641">
      <c r="C641" s="1"/>
      <c r="D641" s="1"/>
      <c r="E641" s="1"/>
    </row>
    <row r="642">
      <c r="C642" s="1"/>
      <c r="D642" s="1"/>
      <c r="E642" s="1"/>
    </row>
    <row r="643">
      <c r="C643" s="1"/>
      <c r="D643" s="1"/>
      <c r="E643" s="1"/>
    </row>
    <row r="644">
      <c r="C644" s="1"/>
      <c r="D644" s="1"/>
      <c r="E644" s="1"/>
    </row>
    <row r="645">
      <c r="C645" s="1"/>
      <c r="D645" s="1"/>
      <c r="E645" s="1"/>
    </row>
    <row r="646">
      <c r="C646" s="1"/>
      <c r="D646" s="1"/>
      <c r="E646" s="1"/>
    </row>
    <row r="647">
      <c r="C647" s="1"/>
      <c r="D647" s="1"/>
      <c r="E647" s="1"/>
    </row>
    <row r="648">
      <c r="C648" s="1"/>
      <c r="D648" s="1"/>
      <c r="E648" s="1"/>
    </row>
    <row r="649">
      <c r="C649" s="1"/>
      <c r="D649" s="1"/>
      <c r="E649" s="1"/>
    </row>
    <row r="650">
      <c r="C650" s="1"/>
      <c r="D650" s="1"/>
      <c r="E650" s="1"/>
    </row>
    <row r="651">
      <c r="C651" s="1"/>
      <c r="D651" s="1"/>
      <c r="E651" s="1"/>
    </row>
    <row r="652">
      <c r="C652" s="1"/>
      <c r="D652" s="1"/>
      <c r="E652" s="1"/>
    </row>
    <row r="653">
      <c r="C653" s="1"/>
      <c r="D653" s="1"/>
      <c r="E653" s="1"/>
    </row>
    <row r="654">
      <c r="C654" s="1"/>
      <c r="D654" s="1"/>
      <c r="E654" s="1"/>
    </row>
    <row r="655">
      <c r="C655" s="1"/>
      <c r="D655" s="1"/>
      <c r="E655" s="1"/>
    </row>
    <row r="656">
      <c r="C656" s="1"/>
      <c r="D656" s="1"/>
      <c r="E656" s="1"/>
    </row>
    <row r="657">
      <c r="C657" s="1"/>
      <c r="D657" s="1"/>
      <c r="E657" s="1"/>
    </row>
    <row r="658">
      <c r="C658" s="1"/>
      <c r="D658" s="1"/>
      <c r="E658" s="1"/>
    </row>
    <row r="659">
      <c r="C659" s="1"/>
      <c r="D659" s="1"/>
      <c r="E659" s="1"/>
    </row>
    <row r="660">
      <c r="C660" s="1"/>
      <c r="D660" s="1"/>
      <c r="E660" s="1"/>
    </row>
    <row r="661">
      <c r="C661" s="1"/>
      <c r="D661" s="1"/>
      <c r="E661" s="1"/>
    </row>
    <row r="662">
      <c r="C662" s="1"/>
      <c r="D662" s="1"/>
      <c r="E662" s="1"/>
    </row>
    <row r="663">
      <c r="C663" s="1"/>
      <c r="D663" s="1"/>
      <c r="E663" s="1"/>
    </row>
    <row r="664">
      <c r="C664" s="1"/>
      <c r="D664" s="1"/>
      <c r="E664" s="1"/>
    </row>
    <row r="665">
      <c r="C665" s="1"/>
      <c r="D665" s="1"/>
      <c r="E665" s="1"/>
    </row>
    <row r="666">
      <c r="C666" s="1"/>
      <c r="D666" s="1"/>
      <c r="E666" s="1"/>
    </row>
    <row r="667">
      <c r="C667" s="1"/>
      <c r="D667" s="1"/>
      <c r="E667" s="1"/>
    </row>
    <row r="668">
      <c r="C668" s="1"/>
      <c r="D668" s="1"/>
      <c r="E668" s="1"/>
    </row>
    <row r="669">
      <c r="C669" s="1"/>
      <c r="D669" s="1"/>
      <c r="E669" s="1"/>
    </row>
    <row r="670">
      <c r="C670" s="1"/>
      <c r="D670" s="1"/>
      <c r="E670" s="1"/>
    </row>
    <row r="671">
      <c r="C671" s="1"/>
      <c r="D671" s="1"/>
      <c r="E671" s="1"/>
    </row>
    <row r="672">
      <c r="C672" s="1"/>
      <c r="D672" s="1"/>
      <c r="E672" s="1"/>
    </row>
    <row r="673">
      <c r="C673" s="1"/>
      <c r="D673" s="1"/>
      <c r="E673" s="1"/>
    </row>
    <row r="674">
      <c r="C674" s="1"/>
      <c r="D674" s="1"/>
      <c r="E674" s="1"/>
    </row>
    <row r="675">
      <c r="C675" s="1"/>
      <c r="D675" s="1"/>
      <c r="E675" s="1"/>
    </row>
    <row r="676">
      <c r="C676" s="1"/>
      <c r="D676" s="1"/>
      <c r="E676" s="1"/>
    </row>
    <row r="677">
      <c r="C677" s="1"/>
      <c r="D677" s="1"/>
      <c r="E677" s="1"/>
    </row>
    <row r="678">
      <c r="C678" s="1"/>
      <c r="D678" s="1"/>
      <c r="E678" s="1"/>
    </row>
    <row r="679">
      <c r="C679" s="1"/>
      <c r="D679" s="1"/>
      <c r="E679" s="1"/>
    </row>
    <row r="680">
      <c r="C680" s="1"/>
      <c r="D680" s="1"/>
      <c r="E680" s="1"/>
    </row>
    <row r="681">
      <c r="C681" s="1"/>
      <c r="D681" s="1"/>
      <c r="E681" s="1"/>
    </row>
    <row r="682">
      <c r="C682" s="1"/>
      <c r="D682" s="1"/>
      <c r="E682" s="1"/>
    </row>
    <row r="683">
      <c r="C683" s="1"/>
      <c r="D683" s="1"/>
      <c r="E683" s="1"/>
    </row>
    <row r="684">
      <c r="C684" s="1"/>
      <c r="D684" s="1"/>
      <c r="E684" s="1"/>
    </row>
    <row r="685">
      <c r="C685" s="1"/>
      <c r="D685" s="1"/>
      <c r="E685" s="1"/>
    </row>
    <row r="686">
      <c r="C686" s="1"/>
      <c r="D686" s="1"/>
      <c r="E686" s="1"/>
    </row>
    <row r="687">
      <c r="C687" s="1"/>
      <c r="D687" s="1"/>
      <c r="E687" s="1"/>
    </row>
    <row r="688">
      <c r="C688" s="1"/>
      <c r="D688" s="1"/>
      <c r="E688" s="1"/>
    </row>
    <row r="689">
      <c r="C689" s="1"/>
      <c r="D689" s="1"/>
      <c r="E689" s="1"/>
    </row>
    <row r="690">
      <c r="C690" s="1"/>
      <c r="D690" s="1"/>
      <c r="E690" s="1"/>
    </row>
    <row r="691">
      <c r="C691" s="1"/>
      <c r="D691" s="1"/>
      <c r="E691" s="1"/>
    </row>
    <row r="692">
      <c r="C692" s="1"/>
      <c r="D692" s="1"/>
      <c r="E692" s="1"/>
    </row>
    <row r="693">
      <c r="C693" s="1"/>
      <c r="D693" s="1"/>
      <c r="E693" s="1"/>
    </row>
    <row r="694">
      <c r="C694" s="1"/>
      <c r="D694" s="1"/>
      <c r="E694" s="1"/>
    </row>
    <row r="695">
      <c r="C695" s="1"/>
      <c r="D695" s="1"/>
      <c r="E695" s="1"/>
    </row>
    <row r="696">
      <c r="C696" s="1"/>
      <c r="D696" s="1"/>
      <c r="E696" s="1"/>
    </row>
    <row r="697">
      <c r="C697" s="1"/>
      <c r="D697" s="1"/>
      <c r="E697" s="1"/>
    </row>
    <row r="698">
      <c r="C698" s="1"/>
      <c r="D698" s="1"/>
      <c r="E698" s="1"/>
    </row>
    <row r="699">
      <c r="C699" s="1"/>
      <c r="D699" s="1"/>
      <c r="E699" s="1"/>
    </row>
    <row r="700">
      <c r="C700" s="1"/>
      <c r="D700" s="1"/>
      <c r="E700" s="1"/>
    </row>
    <row r="701">
      <c r="C701" s="1"/>
      <c r="D701" s="1"/>
      <c r="E701" s="1"/>
    </row>
    <row r="702">
      <c r="C702" s="1"/>
      <c r="D702" s="1"/>
      <c r="E702" s="1"/>
    </row>
    <row r="703">
      <c r="C703" s="1"/>
      <c r="D703" s="1"/>
      <c r="E703" s="1"/>
    </row>
    <row r="704">
      <c r="C704" s="1"/>
      <c r="D704" s="1"/>
      <c r="E704" s="1"/>
    </row>
    <row r="705">
      <c r="C705" s="1"/>
      <c r="D705" s="1"/>
      <c r="E705" s="1"/>
    </row>
    <row r="706">
      <c r="C706" s="1"/>
      <c r="D706" s="1"/>
      <c r="E706" s="1"/>
    </row>
    <row r="707">
      <c r="C707" s="1"/>
      <c r="D707" s="1"/>
      <c r="E707" s="1"/>
    </row>
    <row r="708">
      <c r="C708" s="1"/>
      <c r="D708" s="1"/>
      <c r="E708" s="1"/>
    </row>
    <row r="709">
      <c r="C709" s="1"/>
      <c r="D709" s="1"/>
      <c r="E709" s="1"/>
    </row>
    <row r="710">
      <c r="C710" s="1"/>
      <c r="D710" s="1"/>
      <c r="E710" s="1"/>
    </row>
    <row r="711">
      <c r="C711" s="1"/>
      <c r="D711" s="1"/>
      <c r="E711" s="1"/>
    </row>
    <row r="712">
      <c r="C712" s="1"/>
      <c r="D712" s="1"/>
      <c r="E712" s="1"/>
    </row>
    <row r="713">
      <c r="C713" s="1"/>
      <c r="D713" s="1"/>
      <c r="E713" s="1"/>
    </row>
    <row r="714">
      <c r="C714" s="1"/>
      <c r="D714" s="1"/>
      <c r="E714" s="1"/>
    </row>
    <row r="715">
      <c r="C715" s="1"/>
      <c r="D715" s="1"/>
      <c r="E715" s="1"/>
    </row>
    <row r="716">
      <c r="C716" s="1"/>
      <c r="D716" s="1"/>
      <c r="E716" s="1"/>
    </row>
    <row r="717">
      <c r="C717" s="1"/>
      <c r="D717" s="1"/>
      <c r="E717" s="1"/>
    </row>
    <row r="718">
      <c r="C718" s="1"/>
      <c r="D718" s="1"/>
      <c r="E718" s="1"/>
    </row>
    <row r="719">
      <c r="C719" s="1"/>
      <c r="D719" s="1"/>
      <c r="E719" s="1"/>
    </row>
    <row r="720">
      <c r="C720" s="1"/>
      <c r="D720" s="1"/>
      <c r="E720" s="1"/>
    </row>
    <row r="721">
      <c r="C721" s="1"/>
      <c r="D721" s="1"/>
      <c r="E721" s="1"/>
    </row>
    <row r="722">
      <c r="C722" s="1"/>
      <c r="D722" s="1"/>
      <c r="E722" s="1"/>
    </row>
    <row r="723">
      <c r="C723" s="1"/>
      <c r="D723" s="1"/>
      <c r="E723" s="1"/>
    </row>
    <row r="724">
      <c r="C724" s="1"/>
      <c r="D724" s="1"/>
      <c r="E724" s="1"/>
    </row>
    <row r="725">
      <c r="C725" s="1"/>
      <c r="D725" s="1"/>
      <c r="E725" s="1"/>
    </row>
    <row r="726">
      <c r="C726" s="1"/>
      <c r="D726" s="1"/>
      <c r="E726" s="1"/>
    </row>
    <row r="727">
      <c r="C727" s="1"/>
      <c r="D727" s="1"/>
      <c r="E727" s="1"/>
    </row>
    <row r="728">
      <c r="C728" s="1"/>
      <c r="D728" s="1"/>
      <c r="E728" s="1"/>
    </row>
    <row r="729">
      <c r="C729" s="1"/>
      <c r="D729" s="1"/>
      <c r="E729" s="1"/>
    </row>
    <row r="730">
      <c r="C730" s="1"/>
      <c r="D730" s="1"/>
      <c r="E730" s="1"/>
    </row>
    <row r="731">
      <c r="C731" s="1"/>
      <c r="D731" s="1"/>
      <c r="E731" s="1"/>
    </row>
    <row r="732">
      <c r="C732" s="1"/>
      <c r="D732" s="1"/>
      <c r="E732" s="1"/>
    </row>
    <row r="733">
      <c r="C733" s="1"/>
      <c r="D733" s="1"/>
      <c r="E733" s="1"/>
    </row>
    <row r="734">
      <c r="C734" s="1"/>
      <c r="D734" s="1"/>
      <c r="E734" s="1"/>
    </row>
    <row r="735">
      <c r="C735" s="1"/>
      <c r="D735" s="1"/>
      <c r="E735" s="1"/>
    </row>
    <row r="736">
      <c r="C736" s="1"/>
      <c r="D736" s="1"/>
      <c r="E736" s="1"/>
    </row>
    <row r="737">
      <c r="C737" s="1"/>
      <c r="D737" s="1"/>
      <c r="E737" s="1"/>
    </row>
    <row r="738">
      <c r="C738" s="1"/>
      <c r="D738" s="1"/>
      <c r="E738" s="1"/>
    </row>
    <row r="739">
      <c r="C739" s="1"/>
      <c r="D739" s="1"/>
      <c r="E739" s="1"/>
    </row>
    <row r="740">
      <c r="C740" s="1"/>
      <c r="D740" s="1"/>
      <c r="E740" s="1"/>
    </row>
    <row r="741">
      <c r="C741" s="1"/>
      <c r="D741" s="1"/>
      <c r="E741" s="1"/>
    </row>
    <row r="742">
      <c r="C742" s="1"/>
      <c r="D742" s="1"/>
      <c r="E742" s="1"/>
    </row>
    <row r="743">
      <c r="C743" s="1"/>
      <c r="D743" s="1"/>
      <c r="E743" s="1"/>
    </row>
    <row r="744">
      <c r="C744" s="1"/>
      <c r="D744" s="1"/>
      <c r="E744" s="1"/>
    </row>
    <row r="745">
      <c r="C745" s="1"/>
      <c r="D745" s="1"/>
      <c r="E745" s="1"/>
    </row>
    <row r="746">
      <c r="C746" s="1"/>
      <c r="D746" s="1"/>
      <c r="E746" s="1"/>
    </row>
    <row r="747">
      <c r="C747" s="1"/>
      <c r="D747" s="1"/>
      <c r="E747" s="1"/>
    </row>
    <row r="748">
      <c r="C748" s="1"/>
      <c r="D748" s="1"/>
      <c r="E748" s="1"/>
    </row>
    <row r="749">
      <c r="C749" s="1"/>
      <c r="D749" s="1"/>
      <c r="E749" s="1"/>
    </row>
    <row r="750">
      <c r="C750" s="1"/>
      <c r="D750" s="1"/>
      <c r="E750" s="1"/>
    </row>
    <row r="751">
      <c r="C751" s="1"/>
      <c r="D751" s="1"/>
      <c r="E751" s="1"/>
    </row>
    <row r="752">
      <c r="C752" s="1"/>
      <c r="D752" s="1"/>
      <c r="E752" s="1"/>
    </row>
    <row r="753">
      <c r="C753" s="1"/>
      <c r="D753" s="1"/>
      <c r="E753" s="1"/>
    </row>
    <row r="754">
      <c r="C754" s="1"/>
      <c r="D754" s="1"/>
      <c r="E754" s="1"/>
    </row>
    <row r="755">
      <c r="C755" s="1"/>
      <c r="D755" s="1"/>
      <c r="E755" s="1"/>
    </row>
    <row r="756">
      <c r="C756" s="1"/>
      <c r="D756" s="1"/>
      <c r="E756" s="1"/>
    </row>
    <row r="757">
      <c r="C757" s="1"/>
      <c r="D757" s="1"/>
      <c r="E757" s="1"/>
    </row>
    <row r="758">
      <c r="C758" s="1"/>
      <c r="D758" s="1"/>
      <c r="E758" s="1"/>
    </row>
    <row r="759">
      <c r="C759" s="1"/>
      <c r="D759" s="1"/>
      <c r="E759" s="1"/>
    </row>
    <row r="760">
      <c r="C760" s="1"/>
      <c r="D760" s="1"/>
      <c r="E760" s="1"/>
    </row>
    <row r="761">
      <c r="C761" s="1"/>
      <c r="D761" s="1"/>
      <c r="E761" s="1"/>
    </row>
    <row r="762">
      <c r="C762" s="1"/>
      <c r="D762" s="1"/>
      <c r="E762" s="1"/>
    </row>
    <row r="763">
      <c r="C763" s="1"/>
      <c r="D763" s="1"/>
      <c r="E763" s="1"/>
    </row>
    <row r="764">
      <c r="C764" s="1"/>
      <c r="D764" s="1"/>
      <c r="E764" s="1"/>
    </row>
    <row r="765">
      <c r="C765" s="1"/>
      <c r="D765" s="1"/>
      <c r="E765" s="1"/>
    </row>
    <row r="766">
      <c r="C766" s="1"/>
      <c r="D766" s="1"/>
      <c r="E766" s="1"/>
    </row>
    <row r="767">
      <c r="C767" s="1"/>
      <c r="D767" s="1"/>
      <c r="E767" s="1"/>
    </row>
    <row r="768">
      <c r="C768" s="1"/>
      <c r="D768" s="1"/>
      <c r="E768" s="1"/>
    </row>
    <row r="769">
      <c r="C769" s="1"/>
      <c r="D769" s="1"/>
      <c r="E769" s="1"/>
    </row>
    <row r="770">
      <c r="C770" s="1"/>
      <c r="D770" s="1"/>
      <c r="E770" s="1"/>
    </row>
    <row r="771">
      <c r="C771" s="1"/>
      <c r="D771" s="1"/>
      <c r="E771" s="1"/>
    </row>
    <row r="772">
      <c r="C772" s="1"/>
      <c r="D772" s="1"/>
      <c r="E772" s="1"/>
    </row>
    <row r="773">
      <c r="C773" s="1"/>
      <c r="D773" s="1"/>
      <c r="E773" s="1"/>
    </row>
    <row r="774">
      <c r="C774" s="1"/>
      <c r="D774" s="1"/>
      <c r="E774" s="1"/>
    </row>
    <row r="775">
      <c r="C775" s="1"/>
      <c r="D775" s="1"/>
      <c r="E775" s="1"/>
    </row>
    <row r="776">
      <c r="C776" s="1"/>
      <c r="D776" s="1"/>
      <c r="E776" s="1"/>
    </row>
    <row r="777">
      <c r="C777" s="1"/>
      <c r="D777" s="1"/>
      <c r="E777" s="1"/>
    </row>
    <row r="778">
      <c r="C778" s="1"/>
      <c r="D778" s="1"/>
      <c r="E778" s="1"/>
    </row>
    <row r="779">
      <c r="C779" s="1"/>
      <c r="D779" s="1"/>
      <c r="E779" s="1"/>
    </row>
    <row r="780">
      <c r="C780" s="1"/>
      <c r="D780" s="1"/>
      <c r="E780" s="1"/>
    </row>
    <row r="781">
      <c r="C781" s="1"/>
      <c r="D781" s="1"/>
      <c r="E781" s="1"/>
    </row>
    <row r="782">
      <c r="C782" s="1"/>
      <c r="D782" s="1"/>
      <c r="E782" s="1"/>
    </row>
    <row r="783">
      <c r="C783" s="1"/>
      <c r="D783" s="1"/>
      <c r="E783" s="1"/>
    </row>
    <row r="784">
      <c r="C784" s="1"/>
      <c r="D784" s="1"/>
      <c r="E784" s="1"/>
    </row>
    <row r="785">
      <c r="C785" s="1"/>
      <c r="D785" s="1"/>
      <c r="E785" s="1"/>
    </row>
    <row r="786">
      <c r="C786" s="1"/>
      <c r="D786" s="1"/>
      <c r="E786" s="1"/>
    </row>
    <row r="787">
      <c r="C787" s="1"/>
      <c r="D787" s="1"/>
      <c r="E787" s="1"/>
    </row>
    <row r="788">
      <c r="C788" s="1"/>
      <c r="D788" s="1"/>
      <c r="E788" s="1"/>
    </row>
    <row r="789">
      <c r="C789" s="1"/>
      <c r="D789" s="1"/>
      <c r="E789" s="1"/>
    </row>
    <row r="790">
      <c r="C790" s="1"/>
      <c r="D790" s="1"/>
      <c r="E790" s="1"/>
    </row>
    <row r="791">
      <c r="C791" s="1"/>
      <c r="D791" s="1"/>
      <c r="E791" s="1"/>
    </row>
    <row r="792">
      <c r="C792" s="1"/>
      <c r="D792" s="1"/>
      <c r="E792" s="1"/>
    </row>
    <row r="793">
      <c r="C793" s="1"/>
      <c r="D793" s="1"/>
      <c r="E793" s="1"/>
    </row>
    <row r="794">
      <c r="C794" s="1"/>
      <c r="D794" s="1"/>
      <c r="E794" s="1"/>
    </row>
    <row r="795">
      <c r="C795" s="1"/>
      <c r="D795" s="1"/>
      <c r="E795" s="1"/>
    </row>
    <row r="796">
      <c r="C796" s="1"/>
      <c r="D796" s="1"/>
      <c r="E796" s="1"/>
    </row>
    <row r="797">
      <c r="C797" s="1"/>
      <c r="D797" s="1"/>
      <c r="E797" s="1"/>
    </row>
    <row r="798">
      <c r="C798" s="1"/>
      <c r="D798" s="1"/>
      <c r="E798" s="1"/>
    </row>
    <row r="799">
      <c r="C799" s="1"/>
      <c r="D799" s="1"/>
      <c r="E799" s="1"/>
    </row>
    <row r="800">
      <c r="C800" s="1"/>
      <c r="D800" s="1"/>
      <c r="E800" s="1"/>
    </row>
    <row r="801">
      <c r="C801" s="1"/>
      <c r="D801" s="1"/>
      <c r="E801" s="1"/>
    </row>
    <row r="802">
      <c r="C802" s="1"/>
      <c r="D802" s="1"/>
      <c r="E802" s="1"/>
    </row>
    <row r="803">
      <c r="C803" s="1"/>
      <c r="D803" s="1"/>
      <c r="E803" s="1"/>
    </row>
    <row r="804">
      <c r="C804" s="1"/>
      <c r="D804" s="1"/>
      <c r="E804" s="1"/>
    </row>
    <row r="805">
      <c r="C805" s="1"/>
      <c r="D805" s="1"/>
      <c r="E805" s="1"/>
    </row>
    <row r="806">
      <c r="C806" s="1"/>
      <c r="D806" s="1"/>
      <c r="E806" s="1"/>
    </row>
    <row r="807">
      <c r="C807" s="1"/>
      <c r="D807" s="1"/>
      <c r="E807" s="1"/>
    </row>
    <row r="808">
      <c r="C808" s="1"/>
      <c r="D808" s="1"/>
      <c r="E808" s="1"/>
    </row>
    <row r="809">
      <c r="C809" s="1"/>
      <c r="D809" s="1"/>
      <c r="E809" s="1"/>
    </row>
    <row r="810">
      <c r="C810" s="1"/>
      <c r="D810" s="1"/>
      <c r="E810" s="1"/>
    </row>
    <row r="811">
      <c r="C811" s="1"/>
      <c r="D811" s="1"/>
      <c r="E811" s="1"/>
    </row>
    <row r="812">
      <c r="C812" s="1"/>
      <c r="D812" s="1"/>
      <c r="E812" s="1"/>
    </row>
    <row r="813">
      <c r="C813" s="1"/>
      <c r="D813" s="1"/>
      <c r="E813" s="1"/>
    </row>
    <row r="814">
      <c r="C814" s="1"/>
      <c r="D814" s="1"/>
      <c r="E814" s="1"/>
    </row>
    <row r="815">
      <c r="C815" s="1"/>
      <c r="D815" s="1"/>
      <c r="E815" s="1"/>
    </row>
    <row r="816">
      <c r="C816" s="1"/>
      <c r="D816" s="1"/>
      <c r="E816" s="1"/>
    </row>
    <row r="817">
      <c r="C817" s="1"/>
      <c r="D817" s="1"/>
      <c r="E817" s="1"/>
    </row>
    <row r="818">
      <c r="C818" s="1"/>
      <c r="D818" s="1"/>
      <c r="E818" s="1"/>
    </row>
    <row r="819">
      <c r="C819" s="1"/>
      <c r="D819" s="1"/>
      <c r="E819" s="1"/>
    </row>
    <row r="820">
      <c r="C820" s="1"/>
      <c r="D820" s="1"/>
      <c r="E820" s="1"/>
    </row>
    <row r="821">
      <c r="C821" s="1"/>
      <c r="D821" s="1"/>
      <c r="E821" s="1"/>
    </row>
    <row r="822">
      <c r="C822" s="1"/>
      <c r="D822" s="1"/>
      <c r="E822" s="1"/>
    </row>
    <row r="823">
      <c r="C823" s="1"/>
      <c r="D823" s="1"/>
      <c r="E823" s="1"/>
    </row>
    <row r="824">
      <c r="C824" s="1"/>
      <c r="D824" s="1"/>
      <c r="E824" s="1"/>
    </row>
    <row r="825">
      <c r="C825" s="1"/>
      <c r="D825" s="1"/>
      <c r="E825" s="1"/>
    </row>
    <row r="826">
      <c r="C826" s="1"/>
      <c r="D826" s="1"/>
      <c r="E826" s="1"/>
    </row>
    <row r="827">
      <c r="C827" s="1"/>
      <c r="D827" s="1"/>
      <c r="E827" s="1"/>
    </row>
    <row r="828">
      <c r="C828" s="1"/>
      <c r="D828" s="1"/>
      <c r="E828" s="1"/>
    </row>
    <row r="829">
      <c r="C829" s="1"/>
      <c r="D829" s="1"/>
      <c r="E829" s="1"/>
    </row>
    <row r="830">
      <c r="C830" s="1"/>
      <c r="D830" s="1"/>
      <c r="E830" s="1"/>
    </row>
    <row r="831">
      <c r="C831" s="1"/>
      <c r="D831" s="1"/>
      <c r="E831" s="1"/>
    </row>
    <row r="832">
      <c r="C832" s="1"/>
      <c r="D832" s="1"/>
      <c r="E832" s="1"/>
    </row>
    <row r="833">
      <c r="C833" s="1"/>
      <c r="D833" s="1"/>
      <c r="E833" s="1"/>
    </row>
    <row r="834">
      <c r="C834" s="1"/>
      <c r="D834" s="1"/>
      <c r="E834" s="1"/>
    </row>
    <row r="835">
      <c r="C835" s="1"/>
      <c r="D835" s="1"/>
      <c r="E835" s="1"/>
    </row>
    <row r="836">
      <c r="C836" s="1"/>
      <c r="D836" s="1"/>
      <c r="E836" s="1"/>
    </row>
    <row r="837">
      <c r="C837" s="1"/>
      <c r="D837" s="1"/>
      <c r="E837" s="1"/>
    </row>
    <row r="838">
      <c r="C838" s="1"/>
      <c r="D838" s="1"/>
      <c r="E838" s="1"/>
    </row>
    <row r="839">
      <c r="C839" s="1"/>
      <c r="D839" s="1"/>
      <c r="E839" s="1"/>
    </row>
    <row r="840">
      <c r="C840" s="1"/>
      <c r="D840" s="1"/>
      <c r="E840" s="1"/>
    </row>
    <row r="841">
      <c r="C841" s="1"/>
      <c r="D841" s="1"/>
      <c r="E841" s="1"/>
    </row>
    <row r="842">
      <c r="C842" s="1"/>
      <c r="D842" s="1"/>
      <c r="E842" s="1"/>
    </row>
    <row r="843">
      <c r="C843" s="1"/>
      <c r="D843" s="1"/>
      <c r="E843" s="1"/>
    </row>
    <row r="844">
      <c r="C844" s="1"/>
      <c r="D844" s="1"/>
      <c r="E844" s="1"/>
    </row>
    <row r="845">
      <c r="C845" s="1"/>
      <c r="D845" s="1"/>
      <c r="E845" s="1"/>
    </row>
    <row r="846">
      <c r="C846" s="1"/>
      <c r="D846" s="1"/>
      <c r="E846" s="1"/>
    </row>
    <row r="847">
      <c r="C847" s="1"/>
      <c r="D847" s="1"/>
      <c r="E847" s="1"/>
    </row>
    <row r="848">
      <c r="C848" s="1"/>
      <c r="D848" s="1"/>
      <c r="E848" s="1"/>
    </row>
    <row r="849">
      <c r="C849" s="1"/>
      <c r="D849" s="1"/>
      <c r="E849" s="1"/>
    </row>
    <row r="850">
      <c r="C850" s="1"/>
      <c r="D850" s="1"/>
      <c r="E850" s="1"/>
    </row>
    <row r="851">
      <c r="C851" s="1"/>
      <c r="D851" s="1"/>
      <c r="E851" s="1"/>
    </row>
    <row r="852">
      <c r="C852" s="1"/>
      <c r="D852" s="1"/>
      <c r="E852" s="1"/>
    </row>
    <row r="853">
      <c r="C853" s="1"/>
      <c r="D853" s="1"/>
      <c r="E853" s="1"/>
    </row>
    <row r="854">
      <c r="C854" s="1"/>
      <c r="D854" s="1"/>
      <c r="E854" s="1"/>
    </row>
    <row r="855">
      <c r="C855" s="1"/>
      <c r="D855" s="1"/>
      <c r="E855" s="1"/>
    </row>
    <row r="856">
      <c r="C856" s="1"/>
      <c r="D856" s="1"/>
      <c r="E856" s="1"/>
    </row>
    <row r="857">
      <c r="C857" s="1"/>
      <c r="D857" s="1"/>
      <c r="E857" s="1"/>
    </row>
    <row r="858">
      <c r="C858" s="1"/>
      <c r="D858" s="1"/>
      <c r="E858" s="1"/>
    </row>
    <row r="859">
      <c r="C859" s="1"/>
      <c r="D859" s="1"/>
      <c r="E859" s="1"/>
    </row>
    <row r="860">
      <c r="C860" s="1"/>
      <c r="D860" s="1"/>
      <c r="E860" s="1"/>
    </row>
    <row r="861">
      <c r="C861" s="1"/>
      <c r="D861" s="1"/>
      <c r="E861" s="1"/>
    </row>
    <row r="862">
      <c r="C862" s="1"/>
      <c r="D862" s="1"/>
      <c r="E862" s="1"/>
    </row>
    <row r="863">
      <c r="C863" s="1"/>
      <c r="D863" s="1"/>
      <c r="E863" s="1"/>
    </row>
    <row r="864">
      <c r="C864" s="1"/>
      <c r="D864" s="1"/>
      <c r="E864" s="1"/>
    </row>
    <row r="865">
      <c r="C865" s="1"/>
      <c r="D865" s="1"/>
      <c r="E865" s="1"/>
    </row>
    <row r="866">
      <c r="C866" s="1"/>
      <c r="D866" s="1"/>
      <c r="E866" s="1"/>
    </row>
    <row r="867">
      <c r="C867" s="1"/>
      <c r="D867" s="1"/>
      <c r="E867" s="1"/>
    </row>
    <row r="868">
      <c r="C868" s="1"/>
      <c r="D868" s="1"/>
      <c r="E868" s="1"/>
    </row>
    <row r="869">
      <c r="C869" s="1"/>
      <c r="D869" s="1"/>
      <c r="E869" s="1"/>
    </row>
    <row r="870">
      <c r="C870" s="1"/>
      <c r="D870" s="1"/>
      <c r="E870" s="1"/>
    </row>
    <row r="871">
      <c r="C871" s="1"/>
      <c r="D871" s="1"/>
      <c r="E871" s="1"/>
    </row>
    <row r="872">
      <c r="C872" s="1"/>
      <c r="D872" s="1"/>
      <c r="E872" s="1"/>
    </row>
    <row r="873">
      <c r="C873" s="1"/>
      <c r="D873" s="1"/>
      <c r="E873" s="1"/>
    </row>
    <row r="874">
      <c r="C874" s="1"/>
      <c r="D874" s="1"/>
      <c r="E874" s="1"/>
    </row>
    <row r="875">
      <c r="C875" s="1"/>
      <c r="D875" s="1"/>
      <c r="E875" s="1"/>
    </row>
    <row r="876">
      <c r="C876" s="1"/>
      <c r="D876" s="1"/>
      <c r="E876" s="1"/>
    </row>
    <row r="877">
      <c r="C877" s="1"/>
      <c r="D877" s="1"/>
      <c r="E877" s="1"/>
    </row>
    <row r="878">
      <c r="C878" s="1"/>
      <c r="D878" s="1"/>
      <c r="E878" s="1"/>
    </row>
    <row r="879">
      <c r="C879" s="1"/>
      <c r="D879" s="1"/>
      <c r="E879" s="1"/>
    </row>
    <row r="880">
      <c r="C880" s="1"/>
      <c r="D880" s="1"/>
      <c r="E880" s="1"/>
    </row>
    <row r="881">
      <c r="C881" s="1"/>
      <c r="D881" s="1"/>
      <c r="E881" s="1"/>
    </row>
    <row r="882">
      <c r="C882" s="1"/>
      <c r="D882" s="1"/>
      <c r="E882" s="1"/>
    </row>
    <row r="883">
      <c r="C883" s="1"/>
      <c r="D883" s="1"/>
      <c r="E883" s="1"/>
    </row>
    <row r="884">
      <c r="C884" s="1"/>
      <c r="D884" s="1"/>
      <c r="E884" s="1"/>
    </row>
    <row r="885">
      <c r="C885" s="1"/>
      <c r="D885" s="1"/>
      <c r="E885" s="1"/>
    </row>
    <row r="886">
      <c r="C886" s="1"/>
      <c r="D886" s="1"/>
      <c r="E886" s="1"/>
    </row>
    <row r="887">
      <c r="C887" s="1"/>
      <c r="D887" s="1"/>
      <c r="E887" s="1"/>
    </row>
    <row r="888">
      <c r="C888" s="1"/>
      <c r="D888" s="1"/>
      <c r="E888" s="1"/>
    </row>
    <row r="889">
      <c r="C889" s="1"/>
      <c r="D889" s="1"/>
      <c r="E889" s="1"/>
    </row>
    <row r="890">
      <c r="C890" s="1"/>
      <c r="D890" s="1"/>
      <c r="E890" s="1"/>
    </row>
    <row r="891">
      <c r="C891" s="1"/>
      <c r="D891" s="1"/>
      <c r="E891" s="1"/>
    </row>
    <row r="892">
      <c r="C892" s="1"/>
      <c r="D892" s="1"/>
      <c r="E892" s="1"/>
    </row>
    <row r="893">
      <c r="C893" s="1"/>
      <c r="D893" s="1"/>
      <c r="E893" s="1"/>
    </row>
    <row r="894">
      <c r="C894" s="1"/>
      <c r="D894" s="1"/>
      <c r="E894" s="1"/>
    </row>
    <row r="895">
      <c r="C895" s="1"/>
      <c r="D895" s="1"/>
      <c r="E895" s="1"/>
    </row>
    <row r="896">
      <c r="C896" s="1"/>
      <c r="D896" s="1"/>
      <c r="E896" s="1"/>
    </row>
    <row r="897">
      <c r="C897" s="1"/>
      <c r="D897" s="1"/>
      <c r="E897" s="1"/>
    </row>
    <row r="898">
      <c r="C898" s="1"/>
      <c r="D898" s="1"/>
      <c r="E898" s="1"/>
    </row>
    <row r="899">
      <c r="C899" s="1"/>
      <c r="D899" s="1"/>
      <c r="E899" s="1"/>
    </row>
    <row r="900">
      <c r="C900" s="1"/>
      <c r="D900" s="1"/>
      <c r="E900" s="1"/>
    </row>
    <row r="901">
      <c r="C901" s="1"/>
      <c r="D901" s="1"/>
      <c r="E901" s="1"/>
    </row>
    <row r="902">
      <c r="C902" s="1"/>
      <c r="D902" s="1"/>
      <c r="E902" s="1"/>
    </row>
    <row r="903">
      <c r="C903" s="1"/>
      <c r="D903" s="1"/>
      <c r="E903" s="1"/>
    </row>
    <row r="904">
      <c r="C904" s="1"/>
      <c r="D904" s="1"/>
      <c r="E904" s="1"/>
    </row>
    <row r="905">
      <c r="C905" s="1"/>
      <c r="D905" s="1"/>
      <c r="E905" s="1"/>
    </row>
    <row r="906">
      <c r="C906" s="1"/>
      <c r="D906" s="1"/>
      <c r="E906" s="1"/>
    </row>
    <row r="907">
      <c r="C907" s="1"/>
      <c r="D907" s="1"/>
      <c r="E907" s="1"/>
    </row>
    <row r="908">
      <c r="C908" s="1"/>
      <c r="D908" s="1"/>
      <c r="E908" s="1"/>
    </row>
    <row r="909">
      <c r="C909" s="1"/>
      <c r="D909" s="1"/>
      <c r="E909" s="1"/>
    </row>
    <row r="910">
      <c r="C910" s="1"/>
      <c r="D910" s="1"/>
      <c r="E910" s="1"/>
    </row>
    <row r="911">
      <c r="C911" s="1"/>
      <c r="D911" s="1"/>
      <c r="E911" s="1"/>
    </row>
    <row r="912">
      <c r="C912" s="1"/>
      <c r="D912" s="1"/>
      <c r="E912" s="1"/>
    </row>
    <row r="913">
      <c r="C913" s="1"/>
      <c r="D913" s="1"/>
      <c r="E913" s="1"/>
    </row>
    <row r="914">
      <c r="C914" s="1"/>
      <c r="D914" s="1"/>
      <c r="E914" s="1"/>
    </row>
    <row r="915">
      <c r="C915" s="1"/>
      <c r="D915" s="1"/>
      <c r="E915" s="1"/>
    </row>
    <row r="916">
      <c r="C916" s="1"/>
      <c r="D916" s="1"/>
      <c r="E916" s="1"/>
    </row>
    <row r="917">
      <c r="C917" s="1"/>
      <c r="D917" s="1"/>
      <c r="E917" s="1"/>
    </row>
    <row r="918">
      <c r="C918" s="1"/>
      <c r="D918" s="1"/>
      <c r="E918" s="1"/>
    </row>
    <row r="919">
      <c r="C919" s="1"/>
      <c r="D919" s="1"/>
      <c r="E919" s="1"/>
    </row>
    <row r="920">
      <c r="C920" s="1"/>
      <c r="D920" s="1"/>
      <c r="E920" s="1"/>
    </row>
    <row r="921">
      <c r="C921" s="1"/>
      <c r="D921" s="1"/>
      <c r="E921" s="1"/>
    </row>
    <row r="922">
      <c r="C922" s="1"/>
      <c r="D922" s="1"/>
      <c r="E922" s="1"/>
    </row>
    <row r="923">
      <c r="C923" s="1"/>
      <c r="D923" s="1"/>
      <c r="E923" s="1"/>
    </row>
    <row r="924">
      <c r="C924" s="1"/>
      <c r="D924" s="1"/>
      <c r="E924" s="1"/>
    </row>
    <row r="925">
      <c r="C925" s="1"/>
      <c r="D925" s="1"/>
      <c r="E925" s="1"/>
    </row>
    <row r="926">
      <c r="C926" s="1"/>
      <c r="D926" s="1"/>
      <c r="E926" s="1"/>
    </row>
    <row r="927">
      <c r="C927" s="1"/>
      <c r="D927" s="1"/>
      <c r="E927" s="1"/>
    </row>
    <row r="928">
      <c r="C928" s="1"/>
      <c r="D928" s="1"/>
      <c r="E928" s="1"/>
    </row>
    <row r="929">
      <c r="C929" s="1"/>
      <c r="D929" s="1"/>
      <c r="E929" s="1"/>
    </row>
    <row r="930">
      <c r="C930" s="1"/>
      <c r="D930" s="1"/>
      <c r="E930" s="1"/>
    </row>
    <row r="931">
      <c r="C931" s="1"/>
      <c r="D931" s="1"/>
      <c r="E931" s="1"/>
    </row>
    <row r="932">
      <c r="C932" s="1"/>
      <c r="D932" s="1"/>
      <c r="E932" s="1"/>
    </row>
    <row r="933">
      <c r="C933" s="1"/>
      <c r="D933" s="1"/>
      <c r="E933" s="1"/>
    </row>
    <row r="934">
      <c r="C934" s="1"/>
      <c r="D934" s="1"/>
      <c r="E934" s="1"/>
    </row>
    <row r="935">
      <c r="C935" s="1"/>
      <c r="D935" s="1"/>
      <c r="E935" s="1"/>
    </row>
    <row r="936">
      <c r="C936" s="1"/>
      <c r="D936" s="1"/>
      <c r="E936" s="1"/>
    </row>
    <row r="937">
      <c r="C937" s="1"/>
      <c r="D937" s="1"/>
      <c r="E937" s="1"/>
    </row>
    <row r="938">
      <c r="C938" s="1"/>
      <c r="D938" s="1"/>
      <c r="E938" s="1"/>
    </row>
    <row r="939">
      <c r="C939" s="1"/>
      <c r="D939" s="1"/>
      <c r="E939" s="1"/>
    </row>
    <row r="940">
      <c r="C940" s="1"/>
      <c r="D940" s="1"/>
      <c r="E940" s="1"/>
    </row>
    <row r="941">
      <c r="C941" s="1"/>
      <c r="D941" s="1"/>
      <c r="E941" s="1"/>
    </row>
    <row r="942">
      <c r="C942" s="1"/>
      <c r="D942" s="1"/>
      <c r="E942" s="1"/>
    </row>
    <row r="943">
      <c r="C943" s="1"/>
      <c r="D943" s="1"/>
      <c r="E943" s="1"/>
    </row>
    <row r="944">
      <c r="C944" s="1"/>
      <c r="D944" s="1"/>
      <c r="E944" s="1"/>
    </row>
    <row r="945">
      <c r="C945" s="1"/>
      <c r="D945" s="1"/>
      <c r="E945" s="1"/>
    </row>
    <row r="946">
      <c r="C946" s="1"/>
      <c r="D946" s="1"/>
      <c r="E946" s="1"/>
    </row>
    <row r="947">
      <c r="C947" s="1"/>
      <c r="D947" s="1"/>
      <c r="E947" s="1"/>
    </row>
    <row r="948">
      <c r="C948" s="1"/>
      <c r="D948" s="1"/>
      <c r="E948" s="1"/>
    </row>
    <row r="949">
      <c r="C949" s="1"/>
      <c r="D949" s="1"/>
      <c r="E949" s="1"/>
    </row>
    <row r="950">
      <c r="C950" s="1"/>
      <c r="D950" s="1"/>
      <c r="E950" s="1"/>
    </row>
    <row r="951">
      <c r="C951" s="1"/>
      <c r="D951" s="1"/>
      <c r="E951" s="1"/>
    </row>
    <row r="952">
      <c r="C952" s="1"/>
      <c r="D952" s="1"/>
      <c r="E952" s="1"/>
    </row>
    <row r="953">
      <c r="C953" s="1"/>
      <c r="D953" s="1"/>
      <c r="E953" s="1"/>
    </row>
    <row r="954">
      <c r="C954" s="1"/>
      <c r="D954" s="1"/>
      <c r="E954" s="1"/>
    </row>
    <row r="955">
      <c r="C955" s="1"/>
      <c r="D955" s="1"/>
      <c r="E955" s="1"/>
    </row>
    <row r="956">
      <c r="C956" s="1"/>
      <c r="D956" s="1"/>
      <c r="E956" s="1"/>
    </row>
    <row r="957">
      <c r="C957" s="1"/>
      <c r="D957" s="1"/>
      <c r="E957" s="1"/>
    </row>
    <row r="958">
      <c r="C958" s="1"/>
      <c r="D958" s="1"/>
      <c r="E958" s="1"/>
    </row>
    <row r="959">
      <c r="C959" s="1"/>
      <c r="D959" s="1"/>
      <c r="E959" s="1"/>
    </row>
    <row r="960">
      <c r="C960" s="1"/>
      <c r="D960" s="1"/>
      <c r="E960" s="1"/>
    </row>
    <row r="961">
      <c r="C961" s="1"/>
      <c r="D961" s="1"/>
      <c r="E961" s="1"/>
    </row>
    <row r="962">
      <c r="C962" s="1"/>
      <c r="D962" s="1"/>
      <c r="E962" s="1"/>
    </row>
    <row r="963">
      <c r="C963" s="1"/>
      <c r="D963" s="1"/>
      <c r="E963" s="1"/>
    </row>
    <row r="964">
      <c r="C964" s="1"/>
      <c r="D964" s="1"/>
      <c r="E964" s="1"/>
    </row>
    <row r="965">
      <c r="C965" s="1"/>
      <c r="D965" s="1"/>
      <c r="E965" s="1"/>
    </row>
    <row r="966">
      <c r="C966" s="1"/>
      <c r="D966" s="1"/>
      <c r="E966" s="1"/>
    </row>
    <row r="967">
      <c r="C967" s="1"/>
      <c r="D967" s="1"/>
      <c r="E967" s="1"/>
    </row>
    <row r="968">
      <c r="C968" s="1"/>
      <c r="D968" s="1"/>
      <c r="E968" s="1"/>
    </row>
    <row r="969">
      <c r="C969" s="1"/>
      <c r="D969" s="1"/>
      <c r="E969" s="1"/>
    </row>
    <row r="970">
      <c r="C970" s="1"/>
      <c r="D970" s="1"/>
      <c r="E970" s="1"/>
    </row>
    <row r="971">
      <c r="C971" s="1"/>
      <c r="D971" s="1"/>
      <c r="E971" s="1"/>
    </row>
    <row r="972">
      <c r="C972" s="1"/>
      <c r="D972" s="1"/>
      <c r="E972" s="1"/>
    </row>
    <row r="973">
      <c r="C973" s="1"/>
      <c r="D973" s="1"/>
      <c r="E973" s="1"/>
    </row>
    <row r="974">
      <c r="C974" s="1"/>
      <c r="D974" s="1"/>
      <c r="E974" s="1"/>
    </row>
    <row r="975">
      <c r="C975" s="1"/>
      <c r="D975" s="1"/>
      <c r="E975" s="1"/>
    </row>
    <row r="976">
      <c r="C976" s="1"/>
      <c r="D976" s="1"/>
      <c r="E976" s="1"/>
    </row>
    <row r="977">
      <c r="C977" s="1"/>
      <c r="D977" s="1"/>
      <c r="E977" s="1"/>
    </row>
    <row r="978">
      <c r="C978" s="1"/>
      <c r="D978" s="1"/>
      <c r="E978" s="1"/>
    </row>
    <row r="979">
      <c r="C979" s="1"/>
      <c r="D979" s="1"/>
      <c r="E979" s="1"/>
    </row>
    <row r="980">
      <c r="C980" s="1"/>
      <c r="D980" s="1"/>
      <c r="E980" s="1"/>
    </row>
    <row r="981">
      <c r="C981" s="1"/>
      <c r="D981" s="1"/>
      <c r="E981" s="1"/>
    </row>
    <row r="982">
      <c r="C982" s="1"/>
      <c r="D982" s="1"/>
      <c r="E982" s="1"/>
    </row>
    <row r="983">
      <c r="C983" s="1"/>
      <c r="D983" s="1"/>
      <c r="E983" s="1"/>
    </row>
    <row r="984">
      <c r="C984" s="1"/>
      <c r="D984" s="1"/>
      <c r="E984" s="1"/>
    </row>
    <row r="985">
      <c r="C985" s="1"/>
      <c r="D985" s="1"/>
      <c r="E985" s="1"/>
    </row>
    <row r="986">
      <c r="C986" s="1"/>
      <c r="D986" s="1"/>
      <c r="E986" s="1"/>
    </row>
    <row r="987">
      <c r="C987" s="1"/>
      <c r="D987" s="1"/>
      <c r="E987" s="1"/>
    </row>
    <row r="988">
      <c r="C988" s="1"/>
      <c r="D988" s="1"/>
      <c r="E988" s="1"/>
    </row>
    <row r="989">
      <c r="C989" s="1"/>
      <c r="D989" s="1"/>
      <c r="E989" s="1"/>
    </row>
    <row r="990">
      <c r="C990" s="1"/>
      <c r="D990" s="1"/>
      <c r="E990" s="1"/>
    </row>
    <row r="991">
      <c r="C991" s="1"/>
      <c r="D991" s="1"/>
      <c r="E991" s="1"/>
    </row>
    <row r="992">
      <c r="C992" s="1"/>
      <c r="D992" s="1"/>
      <c r="E992" s="1"/>
    </row>
    <row r="993">
      <c r="C993" s="1"/>
      <c r="D993" s="1"/>
      <c r="E993" s="1"/>
    </row>
    <row r="994">
      <c r="C994" s="1"/>
      <c r="D994" s="1"/>
      <c r="E994" s="1"/>
    </row>
    <row r="995">
      <c r="C995" s="1"/>
      <c r="D995" s="1"/>
      <c r="E995" s="1"/>
    </row>
    <row r="996">
      <c r="C996" s="1"/>
      <c r="D996" s="1"/>
      <c r="E996" s="1"/>
    </row>
    <row r="997">
      <c r="C997" s="1"/>
      <c r="D997" s="1"/>
      <c r="E997" s="1"/>
    </row>
    <row r="998">
      <c r="C998" s="1"/>
      <c r="D998" s="1"/>
      <c r="E998" s="1"/>
    </row>
    <row r="999">
      <c r="C999" s="1"/>
      <c r="D999" s="1"/>
      <c r="E999" s="1"/>
    </row>
    <row r="1000">
      <c r="C1000" s="1"/>
      <c r="D1000" s="1"/>
      <c r="E1000" s="1"/>
    </row>
    <row r="1001">
      <c r="C1001" s="1"/>
      <c r="D1001" s="1"/>
      <c r="E1001" s="1"/>
    </row>
    <row r="1002">
      <c r="C1002" s="1"/>
      <c r="D1002" s="1"/>
      <c r="E1002" s="1"/>
    </row>
    <row r="1003">
      <c r="C1003" s="1"/>
      <c r="D1003" s="1"/>
      <c r="E1003" s="1"/>
    </row>
    <row r="1004">
      <c r="C1004" s="1"/>
      <c r="D1004" s="1"/>
      <c r="E1004" s="1"/>
    </row>
    <row r="1005">
      <c r="C1005" s="1"/>
      <c r="D1005" s="1"/>
      <c r="E1005" s="1"/>
    </row>
    <row r="1006">
      <c r="C1006" s="1"/>
      <c r="D1006" s="1"/>
      <c r="E1006" s="1"/>
    </row>
    <row r="1007">
      <c r="C1007" s="1"/>
      <c r="D1007" s="1"/>
      <c r="E1007" s="1"/>
    </row>
    <row r="1008">
      <c r="C1008" s="1"/>
      <c r="D1008" s="1"/>
      <c r="E1008" s="1"/>
    </row>
    <row r="1009">
      <c r="C1009" s="1"/>
      <c r="D1009" s="1"/>
      <c r="E1009" s="1"/>
    </row>
    <row r="1010">
      <c r="C1010" s="1"/>
      <c r="D1010" s="1"/>
      <c r="E1010" s="1"/>
    </row>
    <row r="1011">
      <c r="C1011" s="1"/>
      <c r="D1011" s="1"/>
      <c r="E1011" s="1"/>
    </row>
    <row r="1012">
      <c r="C1012" s="1"/>
      <c r="D1012" s="1"/>
      <c r="E1012" s="1"/>
    </row>
    <row r="1013">
      <c r="C1013" s="1"/>
      <c r="D1013" s="1"/>
      <c r="E1013" s="1"/>
    </row>
    <row r="1014">
      <c r="C1014" s="1"/>
      <c r="D1014" s="1"/>
      <c r="E1014" s="1"/>
    </row>
    <row r="1015">
      <c r="C1015" s="1"/>
      <c r="D1015" s="1"/>
      <c r="E1015" s="1"/>
    </row>
    <row r="1016">
      <c r="C1016" s="1"/>
      <c r="D1016" s="1"/>
      <c r="E1016" s="1"/>
    </row>
    <row r="1017">
      <c r="C1017" s="1"/>
      <c r="D1017" s="1"/>
      <c r="E1017" s="1"/>
    </row>
    <row r="1018">
      <c r="C1018" s="1"/>
      <c r="D1018" s="1"/>
      <c r="E1018" s="1"/>
    </row>
    <row r="1019">
      <c r="C1019" s="1"/>
      <c r="D1019" s="1"/>
      <c r="E1019" s="1"/>
    </row>
    <row r="1020">
      <c r="C1020" s="1"/>
      <c r="D1020" s="1"/>
      <c r="E1020" s="1"/>
    </row>
    <row r="1021">
      <c r="C1021" s="1"/>
      <c r="D1021" s="1"/>
      <c r="E1021" s="1"/>
    </row>
    <row r="1022">
      <c r="C1022" s="1"/>
      <c r="D1022" s="1"/>
      <c r="E10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</cols>
  <sheetData>
    <row r="1">
      <c r="B1" s="1"/>
    </row>
    <row r="2">
      <c r="B2" s="1"/>
    </row>
    <row r="3">
      <c r="B3" s="1"/>
    </row>
    <row r="4">
      <c r="A4" s="8" t="s">
        <v>164</v>
      </c>
      <c r="B4" s="3">
        <v>100.0</v>
      </c>
      <c r="E4" s="45" t="s">
        <v>165</v>
      </c>
    </row>
    <row r="5">
      <c r="A5" s="8" t="s">
        <v>166</v>
      </c>
      <c r="B5" s="3">
        <v>40.0</v>
      </c>
    </row>
    <row r="6">
      <c r="A6" s="8" t="s">
        <v>167</v>
      </c>
      <c r="B6" s="3">
        <v>65.0</v>
      </c>
    </row>
    <row r="7">
      <c r="A7" s="8" t="s">
        <v>168</v>
      </c>
      <c r="B7" s="3">
        <v>65.0</v>
      </c>
    </row>
    <row r="8">
      <c r="A8" s="8" t="s">
        <v>169</v>
      </c>
      <c r="B8" s="3">
        <v>16.37</v>
      </c>
    </row>
    <row r="9">
      <c r="A9" s="8" t="s">
        <v>170</v>
      </c>
      <c r="B9" s="3">
        <v>4.4</v>
      </c>
    </row>
    <row r="10">
      <c r="A10" s="8" t="s">
        <v>171</v>
      </c>
      <c r="B10" s="3">
        <v>27.4</v>
      </c>
    </row>
    <row r="11">
      <c r="A11" s="8" t="s">
        <v>172</v>
      </c>
      <c r="B11" s="3">
        <v>10.76</v>
      </c>
    </row>
    <row r="12">
      <c r="A12" s="8" t="s">
        <v>173</v>
      </c>
      <c r="B12" s="3">
        <v>55.27</v>
      </c>
    </row>
    <row r="13">
      <c r="A13" s="8" t="s">
        <v>174</v>
      </c>
      <c r="B13" s="3">
        <v>13.47</v>
      </c>
    </row>
    <row r="14">
      <c r="A14" s="8" t="s">
        <v>175</v>
      </c>
      <c r="B14" s="3">
        <v>10.2</v>
      </c>
    </row>
    <row r="15">
      <c r="A15" s="8" t="s">
        <v>176</v>
      </c>
      <c r="B15" s="3">
        <v>13.14</v>
      </c>
    </row>
    <row r="16">
      <c r="A16" s="8" t="s">
        <v>177</v>
      </c>
      <c r="B16" s="3">
        <v>18.3</v>
      </c>
    </row>
    <row r="17">
      <c r="A17" s="8" t="s">
        <v>178</v>
      </c>
      <c r="B17" s="3">
        <v>150.0</v>
      </c>
      <c r="C17" s="8" t="s">
        <v>179</v>
      </c>
    </row>
    <row r="18">
      <c r="A18" s="8" t="s">
        <v>180</v>
      </c>
      <c r="B18" s="3">
        <v>40.0</v>
      </c>
    </row>
    <row r="19">
      <c r="A19" s="8" t="s">
        <v>181</v>
      </c>
      <c r="B19" s="3">
        <v>30.0</v>
      </c>
    </row>
    <row r="20">
      <c r="B20" s="1"/>
    </row>
    <row r="21">
      <c r="B21" s="1"/>
    </row>
    <row r="22">
      <c r="B22" s="1"/>
    </row>
    <row r="23">
      <c r="B23" s="1"/>
      <c r="D23" s="8" t="s">
        <v>182</v>
      </c>
      <c r="E23" s="1">
        <f>SUM(B:B)</f>
        <v>659.31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hyperlinks>
    <hyperlink r:id="rId1" ref="E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6.88"/>
  </cols>
  <sheetData>
    <row r="1">
      <c r="A1" s="6" t="s">
        <v>183</v>
      </c>
      <c r="B1" s="46"/>
      <c r="C1" s="8"/>
    </row>
    <row r="2">
      <c r="A2" s="8"/>
      <c r="B2" s="46"/>
      <c r="C2" s="8"/>
    </row>
    <row r="3">
      <c r="A3" s="8" t="s">
        <v>184</v>
      </c>
      <c r="B3" s="47" t="s">
        <v>185</v>
      </c>
      <c r="C3" s="8">
        <v>105.24</v>
      </c>
    </row>
    <row r="4">
      <c r="A4" s="8" t="s">
        <v>186</v>
      </c>
      <c r="B4" s="48" t="s">
        <v>187</v>
      </c>
      <c r="C4" s="8">
        <v>186.06</v>
      </c>
    </row>
    <row r="5">
      <c r="A5" s="8" t="s">
        <v>188</v>
      </c>
      <c r="B5" s="47" t="s">
        <v>189</v>
      </c>
      <c r="C5" s="8">
        <v>153.82</v>
      </c>
    </row>
    <row r="6">
      <c r="A6" s="8" t="s">
        <v>190</v>
      </c>
      <c r="B6" s="47" t="s">
        <v>191</v>
      </c>
      <c r="C6" s="8">
        <v>24.84</v>
      </c>
    </row>
    <row r="7">
      <c r="A7" s="8" t="s">
        <v>192</v>
      </c>
      <c r="B7" s="49" t="s">
        <v>193</v>
      </c>
      <c r="C7" s="8">
        <v>26.8</v>
      </c>
    </row>
    <row r="8">
      <c r="A8" s="8" t="s">
        <v>194</v>
      </c>
      <c r="B8" s="49" t="s">
        <v>195</v>
      </c>
      <c r="C8" s="8">
        <v>174.07</v>
      </c>
    </row>
    <row r="9">
      <c r="A9" s="8" t="s">
        <v>196</v>
      </c>
      <c r="B9" s="47" t="s">
        <v>197</v>
      </c>
      <c r="C9" s="8">
        <v>181.39</v>
      </c>
    </row>
    <row r="10">
      <c r="A10" s="8" t="s">
        <v>198</v>
      </c>
      <c r="B10" s="47" t="s">
        <v>199</v>
      </c>
      <c r="C10" s="8">
        <v>93.87</v>
      </c>
    </row>
    <row r="11">
      <c r="A11" s="8" t="s">
        <v>200</v>
      </c>
      <c r="B11" s="48" t="s">
        <v>201</v>
      </c>
      <c r="C11" s="8">
        <v>17.85</v>
      </c>
    </row>
    <row r="12">
      <c r="A12" s="8" t="s">
        <v>202</v>
      </c>
      <c r="B12" s="50" t="s">
        <v>203</v>
      </c>
      <c r="C12" s="8">
        <v>318.9</v>
      </c>
    </row>
    <row r="13">
      <c r="A13" s="8" t="s">
        <v>204</v>
      </c>
      <c r="B13" s="51" t="s">
        <v>205</v>
      </c>
      <c r="C13" s="8">
        <v>6.0</v>
      </c>
    </row>
    <row r="14">
      <c r="A14" s="8" t="s">
        <v>206</v>
      </c>
      <c r="B14" s="8" t="s">
        <v>207</v>
      </c>
      <c r="C14" s="8">
        <v>700.0</v>
      </c>
    </row>
    <row r="15">
      <c r="A15" s="8" t="s">
        <v>206</v>
      </c>
      <c r="B15" s="8" t="s">
        <v>208</v>
      </c>
      <c r="C15" s="8">
        <v>1230.0</v>
      </c>
    </row>
    <row r="16">
      <c r="A16" s="52"/>
    </row>
    <row r="17">
      <c r="A17" s="34"/>
      <c r="B17" s="53"/>
      <c r="C17" s="54">
        <f>SUM(C3:C16)</f>
        <v>3218.84</v>
      </c>
      <c r="D17" s="55" t="s">
        <v>209</v>
      </c>
    </row>
    <row r="18">
      <c r="A18" s="34"/>
      <c r="B18" s="53"/>
    </row>
    <row r="19">
      <c r="A19" s="34"/>
      <c r="B19" s="53"/>
    </row>
    <row r="20">
      <c r="A20" s="34"/>
      <c r="B20" s="53"/>
    </row>
    <row r="21">
      <c r="A21" s="6" t="s">
        <v>210</v>
      </c>
    </row>
    <row r="22">
      <c r="A22" s="52"/>
    </row>
    <row r="23">
      <c r="A23" s="8" t="s">
        <v>211</v>
      </c>
      <c r="B23" s="56" t="s">
        <v>212</v>
      </c>
      <c r="C23" s="57">
        <v>62.51</v>
      </c>
    </row>
    <row r="24">
      <c r="A24" s="8" t="s">
        <v>213</v>
      </c>
      <c r="B24" s="58" t="s">
        <v>214</v>
      </c>
      <c r="C24" s="59">
        <v>22.73</v>
      </c>
    </row>
    <row r="25">
      <c r="A25" s="8" t="s">
        <v>215</v>
      </c>
      <c r="B25" s="60" t="s">
        <v>216</v>
      </c>
      <c r="C25" s="61">
        <v>42.72</v>
      </c>
    </row>
    <row r="26">
      <c r="A26" s="8" t="s">
        <v>217</v>
      </c>
      <c r="B26" s="58" t="s">
        <v>218</v>
      </c>
      <c r="C26" s="61">
        <v>11.46</v>
      </c>
    </row>
    <row r="27">
      <c r="A27" s="8" t="s">
        <v>219</v>
      </c>
      <c r="B27" s="8" t="s">
        <v>220</v>
      </c>
      <c r="C27" s="8">
        <v>30.0</v>
      </c>
      <c r="D27" s="55"/>
    </row>
    <row r="28">
      <c r="A28" s="8" t="s">
        <v>221</v>
      </c>
      <c r="B28" s="8" t="s">
        <v>222</v>
      </c>
      <c r="C28" s="8">
        <v>22.9</v>
      </c>
    </row>
    <row r="29">
      <c r="C29" s="54">
        <f>SUM(C23:C28)</f>
        <v>192.32</v>
      </c>
    </row>
    <row r="32">
      <c r="A32" s="6" t="s">
        <v>223</v>
      </c>
      <c r="C32" s="8" t="s">
        <v>0</v>
      </c>
      <c r="D32" s="8" t="s">
        <v>1</v>
      </c>
      <c r="E32" s="8" t="s">
        <v>2</v>
      </c>
    </row>
    <row r="33">
      <c r="A33" s="8" t="s">
        <v>206</v>
      </c>
      <c r="B33" s="62" t="s">
        <v>224</v>
      </c>
      <c r="C33" s="8">
        <v>150.0</v>
      </c>
      <c r="D33" s="8">
        <v>400.0</v>
      </c>
      <c r="E33" s="8">
        <v>250.0</v>
      </c>
    </row>
    <row r="34">
      <c r="A34" s="8" t="s">
        <v>206</v>
      </c>
      <c r="B34" s="8" t="s">
        <v>225</v>
      </c>
      <c r="C34" s="8">
        <v>150.0</v>
      </c>
      <c r="D34" s="8">
        <v>270.0</v>
      </c>
      <c r="E34" s="8">
        <v>120.0</v>
      </c>
    </row>
    <row r="35">
      <c r="A35" s="8" t="s">
        <v>226</v>
      </c>
      <c r="B35" s="8" t="s">
        <v>227</v>
      </c>
      <c r="C35" s="8">
        <v>200.0</v>
      </c>
      <c r="D35" s="8">
        <v>220.0</v>
      </c>
      <c r="E35" s="8">
        <v>20.0</v>
      </c>
    </row>
    <row r="36">
      <c r="A36" s="8" t="s">
        <v>228</v>
      </c>
      <c r="B36" s="8" t="s">
        <v>229</v>
      </c>
      <c r="C36" s="8">
        <v>200.0</v>
      </c>
      <c r="D36" s="8">
        <v>260.0</v>
      </c>
      <c r="E36" s="8">
        <v>60.0</v>
      </c>
    </row>
    <row r="37">
      <c r="A37" s="62" t="s">
        <v>206</v>
      </c>
      <c r="B37" s="51" t="s">
        <v>230</v>
      </c>
      <c r="C37" s="8">
        <v>370.0</v>
      </c>
      <c r="D37" s="8">
        <v>400.0</v>
      </c>
      <c r="E37" s="8">
        <v>30.0</v>
      </c>
    </row>
    <row r="38">
      <c r="A38" s="62" t="s">
        <v>231</v>
      </c>
      <c r="B38" s="62" t="s">
        <v>232</v>
      </c>
      <c r="C38" s="8">
        <v>670.0</v>
      </c>
      <c r="D38" s="8">
        <v>600.0</v>
      </c>
      <c r="E38" s="8">
        <v>-70.0</v>
      </c>
    </row>
    <row r="39">
      <c r="A39" s="8" t="s">
        <v>206</v>
      </c>
      <c r="B39" s="8" t="s">
        <v>233</v>
      </c>
      <c r="C39" s="8">
        <v>860.0</v>
      </c>
      <c r="D39" s="8">
        <v>1100.0</v>
      </c>
      <c r="E39" s="8">
        <v>240.0</v>
      </c>
    </row>
    <row r="40">
      <c r="A40" s="8" t="s">
        <v>206</v>
      </c>
      <c r="B40" s="8" t="s">
        <v>234</v>
      </c>
      <c r="C40" s="8">
        <v>200.0</v>
      </c>
      <c r="D40" s="8">
        <v>233.0</v>
      </c>
      <c r="E40" s="8">
        <v>33.0</v>
      </c>
    </row>
    <row r="41">
      <c r="A41" s="8" t="s">
        <v>235</v>
      </c>
      <c r="B41" s="62" t="s">
        <v>236</v>
      </c>
      <c r="C41" s="59">
        <v>450.0</v>
      </c>
      <c r="D41" s="8">
        <v>300.0</v>
      </c>
      <c r="E41" s="8">
        <v>-150.0</v>
      </c>
    </row>
    <row r="42">
      <c r="A42" s="8" t="s">
        <v>237</v>
      </c>
      <c r="B42" s="63" t="s">
        <v>238</v>
      </c>
      <c r="C42" s="59">
        <v>700.0</v>
      </c>
      <c r="D42" s="8">
        <v>350.0</v>
      </c>
      <c r="E42" s="8">
        <v>-350.0</v>
      </c>
    </row>
    <row r="43">
      <c r="A43" s="62" t="s">
        <v>239</v>
      </c>
      <c r="B43" s="62" t="s">
        <v>236</v>
      </c>
      <c r="C43" s="8">
        <v>550.0</v>
      </c>
      <c r="D43" s="8">
        <v>200.0</v>
      </c>
      <c r="E43" s="8">
        <v>-250.0</v>
      </c>
    </row>
    <row r="44">
      <c r="A44" s="8" t="s">
        <v>206</v>
      </c>
      <c r="B44" s="8" t="s">
        <v>240</v>
      </c>
      <c r="C44" s="8">
        <v>270.0</v>
      </c>
      <c r="D44" s="8">
        <v>130.0</v>
      </c>
      <c r="E44" s="8">
        <v>-140.0</v>
      </c>
    </row>
    <row r="45">
      <c r="A45" s="8" t="s">
        <v>241</v>
      </c>
      <c r="B45" s="8" t="s">
        <v>242</v>
      </c>
      <c r="C45" s="62">
        <v>70.0</v>
      </c>
      <c r="D45" s="8">
        <v>50.0</v>
      </c>
      <c r="E45" s="8">
        <v>-20.0</v>
      </c>
    </row>
    <row r="46">
      <c r="E46" s="54">
        <f>SUM(E33:E45)</f>
        <v>-227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23"/>
    <hyperlink r:id="rId12" ref="B24"/>
    <hyperlink r:id="rId13" ref="B25"/>
    <hyperlink r:id="rId14" ref="B26"/>
  </hyperlinks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3" max="3" width="18.5"/>
    <col customWidth="1" min="4" max="4" width="15.63"/>
  </cols>
  <sheetData>
    <row r="1">
      <c r="A1" s="6" t="s">
        <v>243</v>
      </c>
      <c r="C1" s="3" t="s">
        <v>0</v>
      </c>
      <c r="D1" s="8" t="s">
        <v>1</v>
      </c>
      <c r="E1" s="8" t="s">
        <v>2</v>
      </c>
    </row>
    <row r="2">
      <c r="A2" s="8" t="s">
        <v>244</v>
      </c>
      <c r="C2" s="3">
        <v>25.0</v>
      </c>
    </row>
    <row r="3">
      <c r="A3" s="8" t="s">
        <v>245</v>
      </c>
      <c r="C3" s="3">
        <v>79.0</v>
      </c>
    </row>
    <row r="4">
      <c r="A4" s="8" t="s">
        <v>246</v>
      </c>
      <c r="C4" s="3">
        <v>10.0</v>
      </c>
    </row>
    <row r="5">
      <c r="A5" s="8" t="s">
        <v>247</v>
      </c>
      <c r="C5" s="3">
        <v>70.0</v>
      </c>
    </row>
    <row r="6">
      <c r="A6" s="8" t="s">
        <v>248</v>
      </c>
      <c r="C6" s="3">
        <v>65.0</v>
      </c>
    </row>
    <row r="7">
      <c r="A7" s="8" t="s">
        <v>249</v>
      </c>
      <c r="C7" s="3">
        <v>22.0</v>
      </c>
    </row>
    <row r="8">
      <c r="A8" s="8" t="s">
        <v>250</v>
      </c>
      <c r="C8" s="3">
        <v>30.0</v>
      </c>
    </row>
    <row r="9">
      <c r="C9" s="1"/>
    </row>
    <row r="10">
      <c r="C10" s="1"/>
    </row>
    <row r="11">
      <c r="C11" s="1"/>
    </row>
    <row r="12">
      <c r="C12" s="1"/>
    </row>
    <row r="13">
      <c r="A13" s="8" t="s">
        <v>251</v>
      </c>
      <c r="C13" s="3">
        <v>605.0</v>
      </c>
    </row>
    <row r="14">
      <c r="A14" s="8" t="s">
        <v>252</v>
      </c>
      <c r="C14" s="3">
        <v>120.0</v>
      </c>
    </row>
    <row r="15">
      <c r="A15" s="8" t="s">
        <v>253</v>
      </c>
      <c r="C15" s="3">
        <v>74.0</v>
      </c>
    </row>
    <row r="16">
      <c r="A16" s="8" t="s">
        <v>254</v>
      </c>
      <c r="C16" s="3">
        <v>85.0</v>
      </c>
    </row>
    <row r="17">
      <c r="A17" s="8" t="s">
        <v>254</v>
      </c>
      <c r="C17" s="3">
        <v>42.5</v>
      </c>
    </row>
    <row r="18">
      <c r="C18" s="1"/>
    </row>
    <row r="19">
      <c r="C19" s="64">
        <f>SUM(C13:C18)</f>
        <v>926.5</v>
      </c>
    </row>
    <row r="20">
      <c r="C20" s="1"/>
    </row>
    <row r="21">
      <c r="C21" s="1"/>
    </row>
    <row r="22">
      <c r="C22" s="1"/>
    </row>
    <row r="23">
      <c r="C23" s="1"/>
    </row>
    <row r="24">
      <c r="C24" s="1"/>
    </row>
    <row r="25">
      <c r="A25" s="8" t="s">
        <v>255</v>
      </c>
      <c r="C25" s="3">
        <v>2950.0</v>
      </c>
    </row>
    <row r="26">
      <c r="A26" s="8" t="s">
        <v>256</v>
      </c>
      <c r="C26" s="3">
        <v>9.0</v>
      </c>
    </row>
    <row r="27">
      <c r="A27" s="6" t="s">
        <v>257</v>
      </c>
      <c r="B27" s="23"/>
      <c r="C27" s="65">
        <v>12.0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6" t="s">
        <v>258</v>
      </c>
      <c r="B28" s="23"/>
      <c r="C28" s="65">
        <v>9.0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6" t="s">
        <v>259</v>
      </c>
      <c r="B29" s="23"/>
      <c r="C29" s="65">
        <v>15.0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8" t="s">
        <v>260</v>
      </c>
      <c r="C30" s="3">
        <v>21.0</v>
      </c>
    </row>
    <row r="31">
      <c r="A31" s="8" t="s">
        <v>261</v>
      </c>
      <c r="C31" s="3">
        <v>40.0</v>
      </c>
    </row>
    <row r="32">
      <c r="A32" s="8" t="s">
        <v>262</v>
      </c>
      <c r="C32" s="3">
        <v>2.0</v>
      </c>
    </row>
    <row r="33">
      <c r="A33" s="8" t="s">
        <v>263</v>
      </c>
      <c r="C33" s="3">
        <v>8.0</v>
      </c>
    </row>
    <row r="34">
      <c r="A34" s="8" t="s">
        <v>264</v>
      </c>
      <c r="C34" s="3">
        <v>18.0</v>
      </c>
    </row>
    <row r="35">
      <c r="A35" s="6" t="s">
        <v>265</v>
      </c>
      <c r="B35" s="23"/>
      <c r="C35" s="65">
        <v>14.0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6" t="s">
        <v>266</v>
      </c>
      <c r="B36" s="23"/>
      <c r="C36" s="65">
        <v>18.0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6" t="s">
        <v>267</v>
      </c>
      <c r="B37" s="23"/>
      <c r="C37" s="65">
        <v>32.0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8" t="s">
        <v>268</v>
      </c>
      <c r="C38" s="3">
        <v>16.0</v>
      </c>
    </row>
    <row r="39">
      <c r="A39" s="8" t="s">
        <v>269</v>
      </c>
      <c r="C39" s="3">
        <v>30.0</v>
      </c>
    </row>
    <row r="40">
      <c r="A40" s="8" t="s">
        <v>270</v>
      </c>
      <c r="C40" s="3">
        <v>157.0</v>
      </c>
    </row>
    <row r="41">
      <c r="A41" s="8" t="s">
        <v>271</v>
      </c>
      <c r="C41" s="3">
        <v>27.5</v>
      </c>
    </row>
    <row r="42">
      <c r="A42" s="8" t="s">
        <v>272</v>
      </c>
      <c r="C42" s="3">
        <v>9.0</v>
      </c>
    </row>
    <row r="43">
      <c r="A43" s="8" t="s">
        <v>273</v>
      </c>
      <c r="C43" s="3">
        <v>33.0</v>
      </c>
    </row>
    <row r="44">
      <c r="A44" s="8" t="s">
        <v>274</v>
      </c>
      <c r="C44" s="3">
        <v>67.0</v>
      </c>
    </row>
    <row r="45">
      <c r="A45" s="8" t="s">
        <v>275</v>
      </c>
      <c r="C45" s="3">
        <v>0.0</v>
      </c>
    </row>
    <row r="46">
      <c r="A46" s="6" t="s">
        <v>276</v>
      </c>
      <c r="B46" s="23"/>
      <c r="C46" s="65">
        <v>55.0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8" t="s">
        <v>277</v>
      </c>
      <c r="C47" s="3">
        <v>37.0</v>
      </c>
    </row>
    <row r="48">
      <c r="A48" s="66" t="s">
        <v>278</v>
      </c>
      <c r="C48" s="3">
        <v>5.0</v>
      </c>
    </row>
    <row r="49">
      <c r="A49" s="8" t="s">
        <v>279</v>
      </c>
      <c r="C49" s="3">
        <v>5.0</v>
      </c>
    </row>
    <row r="50">
      <c r="A50" s="8" t="s">
        <v>280</v>
      </c>
      <c r="C50" s="3">
        <v>3.0</v>
      </c>
    </row>
    <row r="51">
      <c r="A51" s="6" t="s">
        <v>281</v>
      </c>
      <c r="B51" s="23"/>
      <c r="C51" s="65">
        <v>20.0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8" t="s">
        <v>282</v>
      </c>
      <c r="C52" s="3">
        <v>116.0</v>
      </c>
    </row>
    <row r="53">
      <c r="A53" s="8" t="s">
        <v>283</v>
      </c>
      <c r="C53" s="3">
        <v>95.0</v>
      </c>
    </row>
    <row r="54">
      <c r="A54" s="8" t="s">
        <v>284</v>
      </c>
      <c r="C54" s="3">
        <v>21.0</v>
      </c>
    </row>
    <row r="55">
      <c r="A55" s="8" t="s">
        <v>285</v>
      </c>
      <c r="C55" s="3">
        <v>19.0</v>
      </c>
    </row>
    <row r="56">
      <c r="A56" s="8" t="s">
        <v>273</v>
      </c>
      <c r="C56" s="3">
        <v>25.0</v>
      </c>
    </row>
    <row r="57">
      <c r="A57" s="6" t="s">
        <v>286</v>
      </c>
      <c r="B57" s="23"/>
      <c r="C57" s="65">
        <v>95.0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8" t="s">
        <v>287</v>
      </c>
      <c r="C58" s="3">
        <v>512.0</v>
      </c>
    </row>
    <row r="59">
      <c r="A59" s="8" t="s">
        <v>288</v>
      </c>
      <c r="C59" s="3">
        <v>131.0</v>
      </c>
    </row>
    <row r="60">
      <c r="A60" s="8" t="s">
        <v>289</v>
      </c>
      <c r="C60" s="3">
        <v>25.0</v>
      </c>
    </row>
    <row r="61">
      <c r="A61" s="6" t="s">
        <v>290</v>
      </c>
      <c r="B61" s="23"/>
      <c r="C61" s="65">
        <v>40.0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8" t="s">
        <v>291</v>
      </c>
      <c r="C62" s="3">
        <v>16.0</v>
      </c>
    </row>
    <row r="63">
      <c r="A63" s="8" t="s">
        <v>292</v>
      </c>
      <c r="C63" s="3">
        <v>20.0</v>
      </c>
    </row>
    <row r="64">
      <c r="A64" s="6" t="s">
        <v>293</v>
      </c>
      <c r="B64" s="23"/>
      <c r="C64" s="65">
        <v>10.0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6" t="s">
        <v>294</v>
      </c>
      <c r="B65" s="23"/>
      <c r="C65" s="67">
        <v>8.5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8" t="s">
        <v>295</v>
      </c>
      <c r="C66" s="3">
        <v>13.0</v>
      </c>
    </row>
    <row r="67">
      <c r="A67" s="6" t="s">
        <v>296</v>
      </c>
      <c r="B67" s="23"/>
      <c r="C67" s="65">
        <v>5.0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8" t="s">
        <v>297</v>
      </c>
      <c r="C68" s="3">
        <v>7.0</v>
      </c>
    </row>
    <row r="69">
      <c r="A69" s="8" t="s">
        <v>298</v>
      </c>
      <c r="C69" s="3">
        <v>15.0</v>
      </c>
    </row>
    <row r="70">
      <c r="A70" s="6" t="s">
        <v>299</v>
      </c>
      <c r="B70" s="23"/>
      <c r="C70" s="65">
        <v>5.0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8" t="s">
        <v>300</v>
      </c>
      <c r="C71" s="3">
        <v>22.0</v>
      </c>
    </row>
    <row r="72">
      <c r="A72" s="8" t="s">
        <v>301</v>
      </c>
      <c r="C72" s="3">
        <v>40.0</v>
      </c>
    </row>
    <row r="73">
      <c r="A73" s="8" t="s">
        <v>302</v>
      </c>
      <c r="C73" s="3">
        <v>15.0</v>
      </c>
    </row>
    <row r="74">
      <c r="A74" s="8" t="s">
        <v>303</v>
      </c>
      <c r="C74" s="3">
        <v>30.0</v>
      </c>
    </row>
    <row r="75">
      <c r="A75" s="8" t="s">
        <v>304</v>
      </c>
      <c r="C75" s="3">
        <v>8.5</v>
      </c>
    </row>
    <row r="76">
      <c r="A76" s="8" t="s">
        <v>305</v>
      </c>
      <c r="C76" s="3">
        <v>9.0</v>
      </c>
    </row>
    <row r="77">
      <c r="A77" s="8" t="s">
        <v>306</v>
      </c>
      <c r="C77" s="3">
        <v>43.0</v>
      </c>
    </row>
    <row r="78">
      <c r="A78" s="8" t="s">
        <v>307</v>
      </c>
      <c r="C78" s="3">
        <v>18.0</v>
      </c>
    </row>
    <row r="79">
      <c r="A79" s="8" t="s">
        <v>308</v>
      </c>
      <c r="C79" s="3">
        <v>10.0</v>
      </c>
    </row>
    <row r="80">
      <c r="A80" s="8" t="s">
        <v>309</v>
      </c>
      <c r="C80" s="3">
        <v>14.0</v>
      </c>
    </row>
    <row r="81">
      <c r="A81" s="8" t="s">
        <v>310</v>
      </c>
      <c r="C81" s="8">
        <v>20.0</v>
      </c>
    </row>
    <row r="82">
      <c r="A82" s="8" t="s">
        <v>311</v>
      </c>
      <c r="C82" s="3">
        <v>35.0</v>
      </c>
    </row>
    <row r="83">
      <c r="A83" s="8" t="s">
        <v>312</v>
      </c>
      <c r="C83" s="3">
        <v>20.0</v>
      </c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64">
        <f>SUM(C25:C89)</f>
        <v>5075.5</v>
      </c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  <row r="1001">
      <c r="C100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3" max="3" width="32.75"/>
    <col customWidth="1" min="4" max="4" width="18.5"/>
    <col customWidth="1" min="6" max="6" width="35.0"/>
  </cols>
  <sheetData>
    <row r="1">
      <c r="A1" s="6"/>
      <c r="C1" s="3"/>
    </row>
    <row r="2">
      <c r="C2" s="3"/>
    </row>
    <row r="3">
      <c r="C3" s="3"/>
    </row>
    <row r="4">
      <c r="A4" s="8" t="s">
        <v>313</v>
      </c>
      <c r="B4" s="8">
        <v>176.98</v>
      </c>
      <c r="C4" s="3"/>
    </row>
    <row r="5">
      <c r="A5" s="8" t="s">
        <v>314</v>
      </c>
      <c r="B5" s="8">
        <v>30.0</v>
      </c>
      <c r="C5" s="3"/>
    </row>
    <row r="6">
      <c r="C6" s="3"/>
    </row>
    <row r="7">
      <c r="C7" s="3"/>
    </row>
    <row r="8">
      <c r="C8" s="3"/>
    </row>
    <row r="9">
      <c r="C9" s="1"/>
      <c r="F9" s="8" t="s">
        <v>315</v>
      </c>
    </row>
    <row r="10">
      <c r="A10" s="8" t="s">
        <v>316</v>
      </c>
      <c r="C10" s="3" t="s">
        <v>317</v>
      </c>
      <c r="D10" s="68">
        <v>69.99</v>
      </c>
      <c r="F10" s="8" t="s">
        <v>318</v>
      </c>
      <c r="G10" s="69" t="s">
        <v>319</v>
      </c>
    </row>
    <row r="11">
      <c r="A11" s="8" t="s">
        <v>320</v>
      </c>
      <c r="C11" s="3" t="s">
        <v>321</v>
      </c>
      <c r="D11" s="68">
        <v>109.99</v>
      </c>
      <c r="F11" s="8" t="s">
        <v>322</v>
      </c>
      <c r="G11" s="69">
        <v>80.0</v>
      </c>
    </row>
    <row r="12">
      <c r="A12" s="8" t="s">
        <v>323</v>
      </c>
      <c r="C12" s="1"/>
      <c r="D12" s="68" t="s">
        <v>324</v>
      </c>
      <c r="G12" s="69" t="s">
        <v>324</v>
      </c>
    </row>
    <row r="13">
      <c r="A13" s="8" t="s">
        <v>325</v>
      </c>
      <c r="C13" s="3" t="s">
        <v>326</v>
      </c>
      <c r="D13" s="68">
        <f> 4 * 21.99</f>
        <v>87.96</v>
      </c>
      <c r="E13" s="8" t="s">
        <v>327</v>
      </c>
      <c r="F13" s="70" t="s">
        <v>328</v>
      </c>
      <c r="G13" s="69">
        <v>100.0</v>
      </c>
    </row>
    <row r="14">
      <c r="A14" s="8" t="s">
        <v>329</v>
      </c>
      <c r="C14" s="3" t="s">
        <v>330</v>
      </c>
      <c r="D14" s="68">
        <v>229.0</v>
      </c>
      <c r="G14" s="69">
        <v>250.0</v>
      </c>
    </row>
    <row r="15">
      <c r="A15" s="8" t="s">
        <v>331</v>
      </c>
      <c r="C15" s="3" t="s">
        <v>332</v>
      </c>
      <c r="D15" s="68">
        <v>17.99</v>
      </c>
      <c r="G15" s="69">
        <v>20.0</v>
      </c>
    </row>
    <row r="16">
      <c r="A16" s="8" t="s">
        <v>333</v>
      </c>
      <c r="C16" s="3" t="s">
        <v>334</v>
      </c>
      <c r="D16" s="68">
        <f> 2.99 *2</f>
        <v>5.98</v>
      </c>
      <c r="E16" s="8" t="s">
        <v>335</v>
      </c>
      <c r="G16" s="69" t="s">
        <v>336</v>
      </c>
    </row>
    <row r="17">
      <c r="A17" s="8" t="s">
        <v>337</v>
      </c>
      <c r="C17" s="3" t="s">
        <v>338</v>
      </c>
      <c r="D17" s="68">
        <v>19.99</v>
      </c>
      <c r="G17" s="69">
        <v>20.0</v>
      </c>
    </row>
    <row r="18">
      <c r="C18" s="1"/>
      <c r="D18" s="71"/>
    </row>
    <row r="19">
      <c r="C19" s="72" t="s">
        <v>339</v>
      </c>
      <c r="D19" s="71">
        <f>SUM(D10:D17)</f>
        <v>540.9</v>
      </c>
      <c r="G19" s="1">
        <f>SUM(G10:G17)</f>
        <v>470</v>
      </c>
    </row>
    <row r="20">
      <c r="C20" s="8" t="s">
        <v>340</v>
      </c>
      <c r="D20" s="8" t="s">
        <v>341</v>
      </c>
    </row>
    <row r="21">
      <c r="C21" s="8" t="s">
        <v>342</v>
      </c>
      <c r="D21" s="8" t="s">
        <v>343</v>
      </c>
    </row>
    <row r="22">
      <c r="C22" s="3" t="s">
        <v>344</v>
      </c>
      <c r="D22" s="8" t="s">
        <v>345</v>
      </c>
    </row>
    <row r="23">
      <c r="C23" s="1"/>
    </row>
    <row r="24">
      <c r="C24" s="1"/>
    </row>
    <row r="25">
      <c r="C25" s="1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A49" s="66"/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7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3">
      <c r="C83" s="3"/>
    </row>
    <row r="84">
      <c r="C84" s="3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64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  <row r="1001">
      <c r="C1001" s="1"/>
    </row>
    <row r="1002">
      <c r="C1002" s="1"/>
    </row>
  </sheetData>
  <hyperlinks>
    <hyperlink r:id="rId1" ref="F1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38"/>
    <col customWidth="1" min="2" max="2" width="22.0"/>
    <col customWidth="1" min="3" max="3" width="18.13"/>
  </cols>
  <sheetData>
    <row r="1">
      <c r="A1" s="74" t="s">
        <v>346</v>
      </c>
      <c r="B1" s="75"/>
      <c r="C1" s="76" t="s">
        <v>0</v>
      </c>
      <c r="D1" s="76" t="s">
        <v>1</v>
      </c>
      <c r="E1" s="76" t="s">
        <v>2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75"/>
      <c r="B2" s="75"/>
      <c r="C2" s="77"/>
      <c r="D2" s="77"/>
      <c r="E2" s="78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79" t="s">
        <v>346</v>
      </c>
      <c r="B3" s="75"/>
      <c r="C3" s="80">
        <v>135.0</v>
      </c>
      <c r="D3" s="80">
        <v>120.0</v>
      </c>
      <c r="E3" s="76">
        <v>-15.0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79" t="s">
        <v>347</v>
      </c>
      <c r="B4" s="75"/>
      <c r="C4" s="77"/>
      <c r="D4" s="77"/>
      <c r="E4" s="78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75"/>
      <c r="B5" s="75"/>
      <c r="C5" s="77"/>
      <c r="D5" s="77"/>
      <c r="E5" s="78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A6" s="75"/>
      <c r="B6" s="75"/>
      <c r="C6" s="77"/>
      <c r="D6" s="77"/>
      <c r="E6" s="78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75"/>
      <c r="B7" s="75"/>
      <c r="C7" s="77"/>
      <c r="D7" s="77"/>
      <c r="E7" s="78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74" t="s">
        <v>348</v>
      </c>
      <c r="B8" s="75"/>
      <c r="C8" s="81"/>
      <c r="D8" s="81"/>
      <c r="E8" s="82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83" t="s">
        <v>349</v>
      </c>
      <c r="B9" s="84"/>
      <c r="C9" s="85">
        <v>29.95</v>
      </c>
      <c r="D9" s="86"/>
      <c r="E9" s="87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>
      <c r="A10" s="88" t="s">
        <v>350</v>
      </c>
      <c r="B10" s="89"/>
      <c r="C10" s="90">
        <v>17.95</v>
      </c>
      <c r="D10" s="91">
        <v>25.0</v>
      </c>
      <c r="E10" s="92">
        <f>SUM(D10 -C10)</f>
        <v>7.05</v>
      </c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83" t="s">
        <v>351</v>
      </c>
      <c r="B11" s="84"/>
      <c r="C11" s="85">
        <v>21.95</v>
      </c>
      <c r="D11" s="86"/>
      <c r="E11" s="87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75"/>
      <c r="B12" s="93"/>
      <c r="C12" s="81"/>
      <c r="D12" s="81"/>
      <c r="E12" s="82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88" t="s">
        <v>352</v>
      </c>
      <c r="B13" s="89"/>
      <c r="C13" s="90">
        <v>23.95</v>
      </c>
      <c r="D13" s="91">
        <v>40.0</v>
      </c>
      <c r="E13" s="92">
        <f t="shared" ref="E13:E14" si="1">SUM(D13 -C13)</f>
        <v>16.05</v>
      </c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88" t="s">
        <v>353</v>
      </c>
      <c r="B14" s="94"/>
      <c r="C14" s="90">
        <v>25.95</v>
      </c>
      <c r="D14" s="91">
        <v>40.0</v>
      </c>
      <c r="E14" s="92">
        <f t="shared" si="1"/>
        <v>14.05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83" t="s">
        <v>353</v>
      </c>
      <c r="B15" s="95"/>
      <c r="C15" s="85">
        <v>25.95</v>
      </c>
      <c r="D15" s="86"/>
      <c r="E15" s="87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>
      <c r="A16" s="88" t="s">
        <v>354</v>
      </c>
      <c r="B16" s="89"/>
      <c r="C16" s="90">
        <v>12.95</v>
      </c>
      <c r="D16" s="91">
        <v>30.0</v>
      </c>
      <c r="E16" s="92">
        <f t="shared" ref="E16:E22" si="2">SUM(D16 -C16)</f>
        <v>17.05</v>
      </c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88" t="s">
        <v>355</v>
      </c>
      <c r="B17" s="89"/>
      <c r="C17" s="90">
        <v>12.95</v>
      </c>
      <c r="D17" s="91">
        <v>30.0</v>
      </c>
      <c r="E17" s="92">
        <f t="shared" si="2"/>
        <v>17.05</v>
      </c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88" t="s">
        <v>356</v>
      </c>
      <c r="B18" s="89"/>
      <c r="C18" s="90">
        <v>12.95</v>
      </c>
      <c r="D18" s="91">
        <v>30.0</v>
      </c>
      <c r="E18" s="92">
        <f t="shared" si="2"/>
        <v>17.05</v>
      </c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88" t="s">
        <v>357</v>
      </c>
      <c r="B19" s="89"/>
      <c r="C19" s="90">
        <v>12.95</v>
      </c>
      <c r="D19" s="91">
        <v>35.0</v>
      </c>
      <c r="E19" s="92">
        <f t="shared" si="2"/>
        <v>22.05</v>
      </c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>
      <c r="A20" s="88" t="s">
        <v>358</v>
      </c>
      <c r="B20" s="89"/>
      <c r="C20" s="90">
        <v>15.95</v>
      </c>
      <c r="D20" s="91">
        <v>50.0</v>
      </c>
      <c r="E20" s="92">
        <f t="shared" si="2"/>
        <v>34.05</v>
      </c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>
      <c r="A21" s="96" t="s">
        <v>359</v>
      </c>
      <c r="B21" s="89"/>
      <c r="C21" s="90">
        <v>19.95</v>
      </c>
      <c r="D21" s="91">
        <v>35.0</v>
      </c>
      <c r="E21" s="92">
        <f t="shared" si="2"/>
        <v>15.05</v>
      </c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>
      <c r="A22" s="88" t="s">
        <v>360</v>
      </c>
      <c r="B22" s="89"/>
      <c r="C22" s="90">
        <v>21.95</v>
      </c>
      <c r="D22" s="91">
        <v>30.0</v>
      </c>
      <c r="E22" s="92">
        <f t="shared" si="2"/>
        <v>8.05</v>
      </c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>
      <c r="A23" s="83" t="s">
        <v>361</v>
      </c>
      <c r="B23" s="84"/>
      <c r="C23" s="85">
        <v>21.95</v>
      </c>
      <c r="D23" s="86"/>
      <c r="E23" s="87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>
      <c r="A24" s="97" t="s">
        <v>362</v>
      </c>
      <c r="B24" s="84"/>
      <c r="C24" s="85">
        <v>29.95</v>
      </c>
      <c r="D24" s="86"/>
      <c r="E24" s="87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>
      <c r="A25" s="75"/>
      <c r="B25" s="78"/>
      <c r="C25" s="81"/>
      <c r="D25" s="81"/>
      <c r="E25" s="82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88" t="s">
        <v>363</v>
      </c>
      <c r="B26" s="89"/>
      <c r="C26" s="90">
        <v>49.95</v>
      </c>
      <c r="D26" s="91">
        <v>60.0</v>
      </c>
      <c r="E26" s="92">
        <f t="shared" ref="E26:E28" si="3">SUM(D26 -C26)</f>
        <v>10.05</v>
      </c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>
      <c r="A27" s="88" t="s">
        <v>364</v>
      </c>
      <c r="B27" s="89"/>
      <c r="C27" s="90">
        <v>35.95</v>
      </c>
      <c r="D27" s="91">
        <v>56.0</v>
      </c>
      <c r="E27" s="92">
        <f t="shared" si="3"/>
        <v>20.05</v>
      </c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>
      <c r="A28" s="88" t="s">
        <v>365</v>
      </c>
      <c r="B28" s="89"/>
      <c r="C28" s="90">
        <v>55.95</v>
      </c>
      <c r="D28" s="91">
        <v>65.0</v>
      </c>
      <c r="E28" s="92">
        <f t="shared" si="3"/>
        <v>9.05</v>
      </c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>
      <c r="A29" s="83" t="s">
        <v>366</v>
      </c>
      <c r="B29" s="84"/>
      <c r="C29" s="85">
        <v>11.95</v>
      </c>
      <c r="D29" s="86"/>
      <c r="E29" s="87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>
      <c r="A30" s="96" t="s">
        <v>367</v>
      </c>
      <c r="B30" s="89"/>
      <c r="C30" s="90">
        <v>51.95</v>
      </c>
      <c r="D30" s="91">
        <v>100.0</v>
      </c>
      <c r="E30" s="92">
        <f>SUM(D30 -C30)</f>
        <v>48.05</v>
      </c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>
      <c r="A31" s="83" t="s">
        <v>368</v>
      </c>
      <c r="B31" s="84"/>
      <c r="C31" s="85">
        <v>5.95</v>
      </c>
      <c r="D31" s="86"/>
      <c r="E31" s="87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>
      <c r="A32" s="75"/>
      <c r="B32" s="78"/>
      <c r="C32" s="81"/>
      <c r="D32" s="81"/>
      <c r="E32" s="82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88" t="s">
        <v>369</v>
      </c>
      <c r="B33" s="89"/>
      <c r="C33" s="90">
        <f>SUM(37.95 +14)</f>
        <v>51.95</v>
      </c>
      <c r="D33" s="91">
        <v>260.0</v>
      </c>
      <c r="E33" s="92">
        <f t="shared" ref="E33:E34" si="4">SUM(D33 -C33)</f>
        <v>208.05</v>
      </c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>
      <c r="A34" s="88" t="s">
        <v>370</v>
      </c>
      <c r="B34" s="89"/>
      <c r="C34" s="90">
        <v>69.95</v>
      </c>
      <c r="D34" s="91">
        <v>190.0</v>
      </c>
      <c r="E34" s="92">
        <f t="shared" si="4"/>
        <v>120.05</v>
      </c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>
      <c r="A35" s="75"/>
      <c r="B35" s="75"/>
      <c r="C35" s="77"/>
      <c r="D35" s="77"/>
      <c r="E35" s="78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94" t="s">
        <v>371</v>
      </c>
      <c r="B36" s="89"/>
      <c r="C36" s="98">
        <v>51.99</v>
      </c>
      <c r="D36" s="98">
        <v>80.0</v>
      </c>
      <c r="E36" s="92">
        <f>SUM(D36 -C36)</f>
        <v>28.01</v>
      </c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>
      <c r="A37" s="75"/>
      <c r="B37" s="75"/>
      <c r="C37" s="77"/>
      <c r="D37" s="77"/>
      <c r="E37" s="78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99" t="s">
        <v>372</v>
      </c>
      <c r="B38" s="84"/>
      <c r="C38" s="100">
        <v>3.95</v>
      </c>
      <c r="D38" s="101"/>
      <c r="E38" s="101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>
      <c r="A39" s="99" t="s">
        <v>372</v>
      </c>
      <c r="B39" s="84"/>
      <c r="C39" s="100">
        <v>3.95</v>
      </c>
      <c r="D39" s="101"/>
      <c r="E39" s="101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>
      <c r="A40" s="75"/>
      <c r="B40" s="78"/>
      <c r="C40" s="77"/>
      <c r="D40" s="77"/>
      <c r="E40" s="78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88" t="s">
        <v>373</v>
      </c>
      <c r="B41" s="89"/>
      <c r="C41" s="98">
        <v>28.8</v>
      </c>
      <c r="D41" s="98">
        <v>43.0</v>
      </c>
      <c r="E41" s="92">
        <f t="shared" ref="E41:E47" si="5">SUM(D41 -C41)</f>
        <v>14.2</v>
      </c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>
      <c r="A42" s="88" t="s">
        <v>373</v>
      </c>
      <c r="B42" s="89"/>
      <c r="C42" s="98">
        <v>28.8</v>
      </c>
      <c r="D42" s="98">
        <v>50.0</v>
      </c>
      <c r="E42" s="92">
        <f t="shared" si="5"/>
        <v>21.2</v>
      </c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>
      <c r="A43" s="88" t="s">
        <v>374</v>
      </c>
      <c r="B43" s="89"/>
      <c r="C43" s="98">
        <v>36.0</v>
      </c>
      <c r="D43" s="98">
        <v>60.0</v>
      </c>
      <c r="E43" s="92">
        <f t="shared" si="5"/>
        <v>24</v>
      </c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>
      <c r="A44" s="88" t="s">
        <v>374</v>
      </c>
      <c r="B44" s="89"/>
      <c r="C44" s="98">
        <v>36.0</v>
      </c>
      <c r="D44" s="98">
        <v>40.0</v>
      </c>
      <c r="E44" s="92">
        <f t="shared" si="5"/>
        <v>4</v>
      </c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>
      <c r="A45" s="88" t="s">
        <v>374</v>
      </c>
      <c r="B45" s="89"/>
      <c r="C45" s="98">
        <v>36.0</v>
      </c>
      <c r="D45" s="98">
        <v>50.0</v>
      </c>
      <c r="E45" s="92">
        <f t="shared" si="5"/>
        <v>14</v>
      </c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>
      <c r="A46" s="88" t="s">
        <v>375</v>
      </c>
      <c r="B46" s="89"/>
      <c r="C46" s="98">
        <v>10.5</v>
      </c>
      <c r="D46" s="98">
        <v>13.1</v>
      </c>
      <c r="E46" s="92">
        <f t="shared" si="5"/>
        <v>2.6</v>
      </c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>
      <c r="A47" s="88" t="s">
        <v>375</v>
      </c>
      <c r="B47" s="89"/>
      <c r="C47" s="98">
        <v>10.5</v>
      </c>
      <c r="D47" s="98">
        <v>20.0</v>
      </c>
      <c r="E47" s="92">
        <f t="shared" si="5"/>
        <v>9.5</v>
      </c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>
      <c r="A48" s="83" t="s">
        <v>376</v>
      </c>
      <c r="B48" s="84"/>
      <c r="C48" s="100">
        <v>2.4</v>
      </c>
      <c r="D48" s="101"/>
      <c r="E48" s="103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>
      <c r="A49" s="83" t="s">
        <v>377</v>
      </c>
      <c r="B49" s="84"/>
      <c r="C49" s="100">
        <v>6.0</v>
      </c>
      <c r="D49" s="101"/>
      <c r="E49" s="103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>
      <c r="A50" s="88" t="s">
        <v>378</v>
      </c>
      <c r="B50" s="89"/>
      <c r="C50" s="98">
        <v>16.8</v>
      </c>
      <c r="D50" s="98">
        <v>30.0</v>
      </c>
      <c r="E50" s="92">
        <f t="shared" ref="E50:E51" si="6">SUM(D50 -C50)</f>
        <v>13.2</v>
      </c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>
      <c r="A51" s="88" t="s">
        <v>378</v>
      </c>
      <c r="B51" s="89"/>
      <c r="C51" s="98">
        <v>16.8</v>
      </c>
      <c r="D51" s="98">
        <v>30.0</v>
      </c>
      <c r="E51" s="92">
        <f t="shared" si="6"/>
        <v>13.2</v>
      </c>
      <c r="F51" s="102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>
      <c r="A52" s="83" t="s">
        <v>379</v>
      </c>
      <c r="B52" s="84"/>
      <c r="C52" s="100">
        <v>16.5</v>
      </c>
      <c r="D52" s="101"/>
      <c r="E52" s="103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>
      <c r="A53" s="83" t="s">
        <v>380</v>
      </c>
      <c r="B53" s="84"/>
      <c r="C53" s="100">
        <v>3.6</v>
      </c>
      <c r="D53" s="101"/>
      <c r="E53" s="103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>
      <c r="A54" s="88" t="s">
        <v>381</v>
      </c>
      <c r="B54" s="89"/>
      <c r="C54" s="98">
        <v>8.1</v>
      </c>
      <c r="D54" s="98">
        <v>15.0</v>
      </c>
      <c r="E54" s="92">
        <f t="shared" ref="E54:E63" si="7">SUM(D54 -C54)</f>
        <v>6.9</v>
      </c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>
      <c r="A55" s="88" t="s">
        <v>381</v>
      </c>
      <c r="B55" s="89"/>
      <c r="C55" s="98">
        <v>8.1</v>
      </c>
      <c r="D55" s="98">
        <v>15.0</v>
      </c>
      <c r="E55" s="92">
        <f t="shared" si="7"/>
        <v>6.9</v>
      </c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>
      <c r="A56" s="88" t="s">
        <v>382</v>
      </c>
      <c r="B56" s="89"/>
      <c r="C56" s="98">
        <v>5.1</v>
      </c>
      <c r="D56" s="98">
        <v>25.0</v>
      </c>
      <c r="E56" s="92">
        <f t="shared" si="7"/>
        <v>19.9</v>
      </c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>
      <c r="A57" s="88" t="s">
        <v>382</v>
      </c>
      <c r="B57" s="89"/>
      <c r="C57" s="98">
        <v>5.1</v>
      </c>
      <c r="D57" s="98">
        <v>20.0</v>
      </c>
      <c r="E57" s="92">
        <f t="shared" si="7"/>
        <v>14.9</v>
      </c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>
      <c r="A58" s="88" t="s">
        <v>382</v>
      </c>
      <c r="B58" s="89"/>
      <c r="C58" s="98">
        <v>5.1</v>
      </c>
      <c r="D58" s="98">
        <v>20.0</v>
      </c>
      <c r="E58" s="92">
        <f t="shared" si="7"/>
        <v>14.9</v>
      </c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>
      <c r="A59" s="88" t="s">
        <v>382</v>
      </c>
      <c r="B59" s="89"/>
      <c r="C59" s="98">
        <v>5.1</v>
      </c>
      <c r="D59" s="98">
        <v>20.0</v>
      </c>
      <c r="E59" s="92">
        <f t="shared" si="7"/>
        <v>14.9</v>
      </c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>
      <c r="A60" s="88" t="s">
        <v>382</v>
      </c>
      <c r="B60" s="89"/>
      <c r="C60" s="98">
        <v>5.1</v>
      </c>
      <c r="D60" s="98">
        <v>20.0</v>
      </c>
      <c r="E60" s="92">
        <f t="shared" si="7"/>
        <v>14.9</v>
      </c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>
      <c r="A61" s="88" t="s">
        <v>382</v>
      </c>
      <c r="B61" s="89"/>
      <c r="C61" s="98">
        <v>5.1</v>
      </c>
      <c r="D61" s="98">
        <v>20.0</v>
      </c>
      <c r="E61" s="92">
        <f t="shared" si="7"/>
        <v>14.9</v>
      </c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>
      <c r="A62" s="83" t="s">
        <v>382</v>
      </c>
      <c r="B62" s="84"/>
      <c r="C62" s="100">
        <v>5.1</v>
      </c>
      <c r="D62" s="100">
        <v>30.0</v>
      </c>
      <c r="E62" s="92">
        <f t="shared" si="7"/>
        <v>24.9</v>
      </c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>
      <c r="A63" s="83" t="s">
        <v>382</v>
      </c>
      <c r="B63" s="84"/>
      <c r="C63" s="100">
        <v>5.1</v>
      </c>
      <c r="D63" s="100">
        <v>30.0</v>
      </c>
      <c r="E63" s="92">
        <f t="shared" si="7"/>
        <v>24.9</v>
      </c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>
      <c r="A64" s="83" t="s">
        <v>382</v>
      </c>
      <c r="B64" s="84"/>
      <c r="C64" s="100">
        <v>5.1</v>
      </c>
      <c r="D64" s="101"/>
      <c r="E64" s="105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>
      <c r="A65" s="83" t="s">
        <v>382</v>
      </c>
      <c r="B65" s="84"/>
      <c r="C65" s="100">
        <v>5.1</v>
      </c>
      <c r="D65" s="101"/>
      <c r="E65" s="105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>
      <c r="A66" s="83" t="s">
        <v>383</v>
      </c>
      <c r="B66" s="84"/>
      <c r="C66" s="100">
        <v>21.0</v>
      </c>
      <c r="D66" s="101"/>
      <c r="E66" s="103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>
      <c r="A67" s="75"/>
      <c r="B67" s="78"/>
      <c r="C67" s="77"/>
      <c r="D67" s="77"/>
      <c r="E67" s="78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75"/>
      <c r="C68" s="77"/>
      <c r="D68" s="77"/>
      <c r="E68" s="78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106"/>
      <c r="C69" s="77"/>
      <c r="D69" s="77"/>
      <c r="E69" s="78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106"/>
      <c r="C70" s="77"/>
      <c r="D70" s="77"/>
      <c r="E70" s="78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75"/>
      <c r="C71" s="77"/>
      <c r="D71" s="77"/>
      <c r="E71" s="78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75"/>
      <c r="C72" s="77"/>
      <c r="D72" s="77"/>
      <c r="E72" s="78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75"/>
      <c r="C73" s="77"/>
      <c r="D73" s="77"/>
      <c r="E73" s="78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75"/>
      <c r="C74" s="77"/>
      <c r="D74" s="77"/>
      <c r="E74" s="78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75"/>
      <c r="C75" s="78">
        <f>SUM(C6:C66)</f>
        <v>1037.64</v>
      </c>
      <c r="D75" s="78">
        <f t="shared" ref="D75:E75" si="8">SUM(D6:D65)</f>
        <v>1707.1</v>
      </c>
      <c r="E75" s="78">
        <f t="shared" si="8"/>
        <v>884.71</v>
      </c>
      <c r="F75" s="76">
        <f>SUM(C75-D75)</f>
        <v>-669.46</v>
      </c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75"/>
      <c r="C76" s="107" t="s">
        <v>0</v>
      </c>
      <c r="D76" s="107" t="s">
        <v>1</v>
      </c>
      <c r="E76" s="107" t="s">
        <v>2</v>
      </c>
      <c r="F76" s="106" t="s">
        <v>384</v>
      </c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75"/>
      <c r="C77" s="77"/>
      <c r="D77" s="77"/>
      <c r="E77" s="78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75"/>
      <c r="C78" s="77"/>
      <c r="D78" s="77"/>
      <c r="E78" s="78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7"/>
      <c r="D79" s="77"/>
      <c r="E79" s="78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7"/>
      <c r="D80" s="77"/>
      <c r="E80" s="78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7"/>
      <c r="D81" s="77"/>
      <c r="E81" s="78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7"/>
      <c r="D82" s="77"/>
      <c r="E82" s="78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7"/>
      <c r="D83" s="77"/>
      <c r="E83" s="78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7"/>
      <c r="D84" s="77"/>
      <c r="E84" s="78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75"/>
      <c r="C85" s="77"/>
      <c r="D85" s="77"/>
      <c r="E85" s="78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75"/>
      <c r="C86" s="77"/>
      <c r="D86" s="77"/>
      <c r="E86" s="78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7"/>
      <c r="D87" s="77"/>
      <c r="E87" s="78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7"/>
      <c r="D88" s="77"/>
      <c r="E88" s="78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7"/>
      <c r="D89" s="77"/>
      <c r="E89" s="78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7"/>
      <c r="D90" s="77"/>
      <c r="E90" s="78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7"/>
      <c r="D91" s="77"/>
      <c r="E91" s="78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7"/>
      <c r="D92" s="77"/>
      <c r="E92" s="78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7"/>
      <c r="D93" s="77"/>
      <c r="E93" s="78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7"/>
      <c r="D94" s="77"/>
      <c r="E94" s="78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7"/>
      <c r="D95" s="77"/>
      <c r="E95" s="78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7"/>
      <c r="D96" s="77"/>
      <c r="E96" s="78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7"/>
      <c r="D97" s="77"/>
      <c r="E97" s="78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7"/>
      <c r="D98" s="77"/>
      <c r="E98" s="78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7"/>
      <c r="D99" s="77"/>
      <c r="E99" s="78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7"/>
      <c r="D100" s="77"/>
      <c r="E100" s="78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7"/>
      <c r="D101" s="77"/>
      <c r="E101" s="78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7"/>
      <c r="D102" s="77"/>
      <c r="E102" s="78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7"/>
      <c r="D103" s="77"/>
      <c r="E103" s="78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7"/>
      <c r="D104" s="77"/>
      <c r="E104" s="78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7"/>
      <c r="D105" s="77"/>
      <c r="E105" s="78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7"/>
      <c r="D106" s="77"/>
      <c r="E106" s="78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7"/>
      <c r="D107" s="77"/>
      <c r="E107" s="78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7"/>
      <c r="D108" s="77"/>
      <c r="E108" s="78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7"/>
      <c r="D109" s="77"/>
      <c r="E109" s="78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7"/>
      <c r="D110" s="77"/>
      <c r="E110" s="78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7"/>
      <c r="D111" s="77"/>
      <c r="E111" s="78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7"/>
      <c r="D112" s="77"/>
      <c r="E112" s="78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7"/>
      <c r="D113" s="77"/>
      <c r="E113" s="78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7"/>
      <c r="D114" s="77"/>
      <c r="E114" s="78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7"/>
      <c r="D115" s="77"/>
      <c r="E115" s="78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7"/>
      <c r="D116" s="77"/>
      <c r="E116" s="78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7"/>
      <c r="D117" s="77"/>
      <c r="E117" s="78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7"/>
      <c r="D118" s="77"/>
      <c r="E118" s="78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7"/>
      <c r="D119" s="77"/>
      <c r="E119" s="78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7"/>
      <c r="D120" s="77"/>
      <c r="E120" s="78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7"/>
      <c r="D121" s="77"/>
      <c r="E121" s="78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7"/>
      <c r="D122" s="77"/>
      <c r="E122" s="78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7"/>
      <c r="D123" s="77"/>
      <c r="E123" s="78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7"/>
      <c r="D124" s="77"/>
      <c r="E124" s="78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7"/>
      <c r="D125" s="77"/>
      <c r="E125" s="78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7"/>
      <c r="D126" s="77"/>
      <c r="E126" s="78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7"/>
      <c r="D127" s="77"/>
      <c r="E127" s="78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7"/>
      <c r="D128" s="77"/>
      <c r="E128" s="78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7"/>
      <c r="D129" s="77"/>
      <c r="E129" s="78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7"/>
      <c r="D130" s="77"/>
      <c r="E130" s="78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7"/>
      <c r="D131" s="77"/>
      <c r="E131" s="78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7"/>
      <c r="D132" s="77"/>
      <c r="E132" s="78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7"/>
      <c r="D133" s="77"/>
      <c r="E133" s="78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7"/>
      <c r="D134" s="77"/>
      <c r="E134" s="78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7"/>
      <c r="D135" s="77"/>
      <c r="E135" s="78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7"/>
      <c r="D136" s="77"/>
      <c r="E136" s="78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7"/>
      <c r="D137" s="77"/>
      <c r="E137" s="78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7"/>
      <c r="D138" s="77"/>
      <c r="E138" s="78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7"/>
      <c r="D139" s="77"/>
      <c r="E139" s="78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7"/>
      <c r="D140" s="77"/>
      <c r="E140" s="78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7"/>
      <c r="D141" s="77"/>
      <c r="E141" s="78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7"/>
      <c r="D142" s="77"/>
      <c r="E142" s="78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7"/>
      <c r="D143" s="77"/>
      <c r="E143" s="78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7"/>
      <c r="D144" s="77"/>
      <c r="E144" s="78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7"/>
      <c r="D145" s="77"/>
      <c r="E145" s="78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7"/>
      <c r="D146" s="77"/>
      <c r="E146" s="78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7"/>
      <c r="D147" s="77"/>
      <c r="E147" s="78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7"/>
      <c r="D148" s="77"/>
      <c r="E148" s="78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7"/>
      <c r="D149" s="77"/>
      <c r="E149" s="78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7"/>
      <c r="D150" s="77"/>
      <c r="E150" s="78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7"/>
      <c r="D151" s="77"/>
      <c r="E151" s="78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7"/>
      <c r="D152" s="77"/>
      <c r="E152" s="78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7"/>
      <c r="D153" s="77"/>
      <c r="E153" s="78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7"/>
      <c r="D154" s="77"/>
      <c r="E154" s="78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7"/>
      <c r="D155" s="77"/>
      <c r="E155" s="78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7"/>
      <c r="D156" s="77"/>
      <c r="E156" s="78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7"/>
      <c r="D157" s="77"/>
      <c r="E157" s="78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7"/>
      <c r="D158" s="77"/>
      <c r="E158" s="78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7"/>
      <c r="D159" s="77"/>
      <c r="E159" s="78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7"/>
      <c r="D160" s="77"/>
      <c r="E160" s="78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7"/>
      <c r="D161" s="77"/>
      <c r="E161" s="78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7"/>
      <c r="D162" s="77"/>
      <c r="E162" s="78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7"/>
      <c r="D163" s="77"/>
      <c r="E163" s="78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7"/>
      <c r="D164" s="77"/>
      <c r="E164" s="78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7"/>
      <c r="D165" s="77"/>
      <c r="E165" s="78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7"/>
      <c r="D166" s="77"/>
      <c r="E166" s="78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7"/>
      <c r="D167" s="77"/>
      <c r="E167" s="78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7"/>
      <c r="D168" s="77"/>
      <c r="E168" s="78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7"/>
      <c r="D169" s="77"/>
      <c r="E169" s="78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7"/>
      <c r="D170" s="77"/>
      <c r="E170" s="78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7"/>
      <c r="D171" s="77"/>
      <c r="E171" s="78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7"/>
      <c r="D172" s="77"/>
      <c r="E172" s="78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7"/>
      <c r="D173" s="77"/>
      <c r="E173" s="78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7"/>
      <c r="D174" s="77"/>
      <c r="E174" s="78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7"/>
      <c r="D175" s="77"/>
      <c r="E175" s="78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7"/>
      <c r="D176" s="77"/>
      <c r="E176" s="78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7"/>
      <c r="D177" s="77"/>
      <c r="E177" s="78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7"/>
      <c r="D178" s="77"/>
      <c r="E178" s="78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7"/>
      <c r="D179" s="77"/>
      <c r="E179" s="78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7"/>
      <c r="D180" s="77"/>
      <c r="E180" s="78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7"/>
      <c r="D181" s="77"/>
      <c r="E181" s="78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7"/>
      <c r="D182" s="77"/>
      <c r="E182" s="78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7"/>
      <c r="D183" s="77"/>
      <c r="E183" s="78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7"/>
      <c r="D184" s="77"/>
      <c r="E184" s="78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7"/>
      <c r="D185" s="77"/>
      <c r="E185" s="78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7"/>
      <c r="D186" s="77"/>
      <c r="E186" s="78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7"/>
      <c r="D187" s="77"/>
      <c r="E187" s="78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7"/>
      <c r="D188" s="77"/>
      <c r="E188" s="78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7"/>
      <c r="D189" s="77"/>
      <c r="E189" s="78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7"/>
      <c r="D190" s="77"/>
      <c r="E190" s="78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7"/>
      <c r="D191" s="77"/>
      <c r="E191" s="78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7"/>
      <c r="D192" s="77"/>
      <c r="E192" s="78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7"/>
      <c r="D193" s="77"/>
      <c r="E193" s="78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7"/>
      <c r="D194" s="77"/>
      <c r="E194" s="78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7"/>
      <c r="D195" s="77"/>
      <c r="E195" s="78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7"/>
      <c r="D196" s="77"/>
      <c r="E196" s="78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7"/>
      <c r="D197" s="77"/>
      <c r="E197" s="78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7"/>
      <c r="D198" s="77"/>
      <c r="E198" s="78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7"/>
      <c r="D199" s="77"/>
      <c r="E199" s="78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7"/>
      <c r="D200" s="77"/>
      <c r="E200" s="78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7"/>
      <c r="D201" s="77"/>
      <c r="E201" s="78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7"/>
      <c r="D202" s="77"/>
      <c r="E202" s="78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7"/>
      <c r="D203" s="77"/>
      <c r="E203" s="78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7"/>
      <c r="D204" s="77"/>
      <c r="E204" s="78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7"/>
      <c r="D205" s="77"/>
      <c r="E205" s="78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7"/>
      <c r="D206" s="77"/>
      <c r="E206" s="78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7"/>
      <c r="D207" s="77"/>
      <c r="E207" s="78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7"/>
      <c r="D208" s="77"/>
      <c r="E208" s="78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7"/>
      <c r="D209" s="77"/>
      <c r="E209" s="78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7"/>
      <c r="D210" s="77"/>
      <c r="E210" s="78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7"/>
      <c r="D211" s="77"/>
      <c r="E211" s="78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7"/>
      <c r="D212" s="77"/>
      <c r="E212" s="78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7"/>
      <c r="D213" s="77"/>
      <c r="E213" s="78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7"/>
      <c r="D214" s="77"/>
      <c r="E214" s="78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7"/>
      <c r="D215" s="77"/>
      <c r="E215" s="78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7"/>
      <c r="D216" s="77"/>
      <c r="E216" s="78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7"/>
      <c r="D217" s="77"/>
      <c r="E217" s="78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7"/>
      <c r="D218" s="77"/>
      <c r="E218" s="78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7"/>
      <c r="D219" s="77"/>
      <c r="E219" s="78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7"/>
      <c r="D220" s="77"/>
      <c r="E220" s="78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7"/>
      <c r="D221" s="77"/>
      <c r="E221" s="78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7"/>
      <c r="D222" s="77"/>
      <c r="E222" s="78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7"/>
      <c r="D223" s="77"/>
      <c r="E223" s="78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7"/>
      <c r="D224" s="77"/>
      <c r="E224" s="78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7"/>
      <c r="D225" s="77"/>
      <c r="E225" s="78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7"/>
      <c r="D226" s="77"/>
      <c r="E226" s="78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7"/>
      <c r="D227" s="77"/>
      <c r="E227" s="78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7"/>
      <c r="D228" s="77"/>
      <c r="E228" s="78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7"/>
      <c r="D229" s="77"/>
      <c r="E229" s="78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7"/>
      <c r="D230" s="77"/>
      <c r="E230" s="78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7"/>
      <c r="D231" s="77"/>
      <c r="E231" s="78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7"/>
      <c r="D232" s="77"/>
      <c r="E232" s="78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7"/>
      <c r="D233" s="77"/>
      <c r="E233" s="78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7"/>
      <c r="D234" s="77"/>
      <c r="E234" s="78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7"/>
      <c r="D235" s="77"/>
      <c r="E235" s="78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7"/>
      <c r="D236" s="77"/>
      <c r="E236" s="78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7"/>
      <c r="D237" s="77"/>
      <c r="E237" s="78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7"/>
      <c r="D238" s="77"/>
      <c r="E238" s="78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7"/>
      <c r="D239" s="77"/>
      <c r="E239" s="78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7"/>
      <c r="D240" s="77"/>
      <c r="E240" s="78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7"/>
      <c r="D241" s="77"/>
      <c r="E241" s="78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7"/>
      <c r="D242" s="77"/>
      <c r="E242" s="78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7"/>
      <c r="D243" s="77"/>
      <c r="E243" s="78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7"/>
      <c r="D244" s="77"/>
      <c r="E244" s="78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7"/>
      <c r="D245" s="77"/>
      <c r="E245" s="78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7"/>
      <c r="D246" s="77"/>
      <c r="E246" s="78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7"/>
      <c r="D247" s="77"/>
      <c r="E247" s="78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7"/>
      <c r="D248" s="77"/>
      <c r="E248" s="78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7"/>
      <c r="D249" s="77"/>
      <c r="E249" s="78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7"/>
      <c r="D250" s="77"/>
      <c r="E250" s="78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7"/>
      <c r="D251" s="77"/>
      <c r="E251" s="78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7"/>
      <c r="D252" s="77"/>
      <c r="E252" s="78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7"/>
      <c r="D253" s="77"/>
      <c r="E253" s="78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7"/>
      <c r="D254" s="77"/>
      <c r="E254" s="78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7"/>
      <c r="D255" s="77"/>
      <c r="E255" s="78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7"/>
      <c r="D256" s="77"/>
      <c r="E256" s="78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7"/>
      <c r="D257" s="77"/>
      <c r="E257" s="78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7"/>
      <c r="D258" s="77"/>
      <c r="E258" s="78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7"/>
      <c r="D259" s="77"/>
      <c r="E259" s="78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7"/>
      <c r="D260" s="77"/>
      <c r="E260" s="78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7"/>
      <c r="D261" s="77"/>
      <c r="E261" s="78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7"/>
      <c r="D262" s="77"/>
      <c r="E262" s="78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7"/>
      <c r="D263" s="77"/>
      <c r="E263" s="78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7"/>
      <c r="D264" s="77"/>
      <c r="E264" s="78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7"/>
      <c r="D265" s="77"/>
      <c r="E265" s="78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7"/>
      <c r="D266" s="77"/>
      <c r="E266" s="78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7"/>
      <c r="D267" s="77"/>
      <c r="E267" s="78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7"/>
      <c r="D268" s="77"/>
      <c r="E268" s="78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7"/>
      <c r="D269" s="77"/>
      <c r="E269" s="78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7"/>
      <c r="D270" s="77"/>
      <c r="E270" s="78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7"/>
      <c r="D271" s="77"/>
      <c r="E271" s="78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7"/>
      <c r="D272" s="77"/>
      <c r="E272" s="78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7"/>
      <c r="D273" s="77"/>
      <c r="E273" s="78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7"/>
      <c r="D274" s="77"/>
      <c r="E274" s="78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7"/>
      <c r="D275" s="77"/>
      <c r="E275" s="78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7"/>
      <c r="D276" s="77"/>
      <c r="E276" s="78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7"/>
      <c r="D277" s="77"/>
      <c r="E277" s="78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7"/>
      <c r="D278" s="77"/>
      <c r="E278" s="78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7"/>
      <c r="D279" s="77"/>
      <c r="E279" s="78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7"/>
      <c r="D280" s="77"/>
      <c r="E280" s="78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7"/>
      <c r="D281" s="77"/>
      <c r="E281" s="78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7"/>
      <c r="D282" s="77"/>
      <c r="E282" s="78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7"/>
      <c r="D283" s="77"/>
      <c r="E283" s="78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7"/>
      <c r="D284" s="77"/>
      <c r="E284" s="78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7"/>
      <c r="D285" s="77"/>
      <c r="E285" s="78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7"/>
      <c r="D286" s="77"/>
      <c r="E286" s="78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7"/>
      <c r="D287" s="77"/>
      <c r="E287" s="78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7"/>
      <c r="D288" s="77"/>
      <c r="E288" s="78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7"/>
      <c r="D289" s="77"/>
      <c r="E289" s="78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7"/>
      <c r="D290" s="77"/>
      <c r="E290" s="78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7"/>
      <c r="D291" s="77"/>
      <c r="E291" s="78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7"/>
      <c r="D292" s="77"/>
      <c r="E292" s="78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7"/>
      <c r="D293" s="77"/>
      <c r="E293" s="78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7"/>
      <c r="D294" s="77"/>
      <c r="E294" s="78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7"/>
      <c r="D295" s="77"/>
      <c r="E295" s="78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7"/>
      <c r="D296" s="77"/>
      <c r="E296" s="78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7"/>
      <c r="D297" s="77"/>
      <c r="E297" s="78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7"/>
      <c r="D298" s="77"/>
      <c r="E298" s="78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7"/>
      <c r="D299" s="77"/>
      <c r="E299" s="78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7"/>
      <c r="D300" s="77"/>
      <c r="E300" s="78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7"/>
      <c r="D301" s="77"/>
      <c r="E301" s="78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7"/>
      <c r="D302" s="77"/>
      <c r="E302" s="78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7"/>
      <c r="D303" s="77"/>
      <c r="E303" s="78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7"/>
      <c r="D304" s="77"/>
      <c r="E304" s="78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7"/>
      <c r="D305" s="77"/>
      <c r="E305" s="78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7"/>
      <c r="D306" s="77"/>
      <c r="E306" s="78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7"/>
      <c r="D307" s="77"/>
      <c r="E307" s="78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7"/>
      <c r="D308" s="77"/>
      <c r="E308" s="78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7"/>
      <c r="D309" s="77"/>
      <c r="E309" s="78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7"/>
      <c r="D310" s="77"/>
      <c r="E310" s="78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7"/>
      <c r="D311" s="77"/>
      <c r="E311" s="78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7"/>
      <c r="D312" s="77"/>
      <c r="E312" s="78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7"/>
      <c r="D313" s="77"/>
      <c r="E313" s="78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7"/>
      <c r="D314" s="77"/>
      <c r="E314" s="78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7"/>
      <c r="D315" s="77"/>
      <c r="E315" s="78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7"/>
      <c r="D316" s="77"/>
      <c r="E316" s="78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7"/>
      <c r="D317" s="77"/>
      <c r="E317" s="78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7"/>
      <c r="D318" s="77"/>
      <c r="E318" s="78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7"/>
      <c r="D319" s="77"/>
      <c r="E319" s="78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7"/>
      <c r="D320" s="77"/>
      <c r="E320" s="78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7"/>
      <c r="D321" s="77"/>
      <c r="E321" s="78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7"/>
      <c r="D322" s="77"/>
      <c r="E322" s="78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7"/>
      <c r="D323" s="77"/>
      <c r="E323" s="78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7"/>
      <c r="D324" s="77"/>
      <c r="E324" s="78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7"/>
      <c r="D325" s="77"/>
      <c r="E325" s="78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7"/>
      <c r="D326" s="77"/>
      <c r="E326" s="78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7"/>
      <c r="D327" s="77"/>
      <c r="E327" s="78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7"/>
      <c r="D328" s="77"/>
      <c r="E328" s="78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7"/>
      <c r="D329" s="77"/>
      <c r="E329" s="78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7"/>
      <c r="D330" s="77"/>
      <c r="E330" s="78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7"/>
      <c r="D331" s="77"/>
      <c r="E331" s="78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7"/>
      <c r="D332" s="77"/>
      <c r="E332" s="78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7"/>
      <c r="D333" s="77"/>
      <c r="E333" s="78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7"/>
      <c r="D334" s="77"/>
      <c r="E334" s="78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7"/>
      <c r="D335" s="77"/>
      <c r="E335" s="78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7"/>
      <c r="D336" s="77"/>
      <c r="E336" s="78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7"/>
      <c r="D337" s="77"/>
      <c r="E337" s="78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7"/>
      <c r="D338" s="77"/>
      <c r="E338" s="78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7"/>
      <c r="D339" s="77"/>
      <c r="E339" s="78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7"/>
      <c r="D340" s="77"/>
      <c r="E340" s="78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7"/>
      <c r="D341" s="77"/>
      <c r="E341" s="78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7"/>
      <c r="D342" s="77"/>
      <c r="E342" s="78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7"/>
      <c r="D343" s="77"/>
      <c r="E343" s="78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7"/>
      <c r="D344" s="77"/>
      <c r="E344" s="78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7"/>
      <c r="D345" s="77"/>
      <c r="E345" s="78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7"/>
      <c r="D346" s="77"/>
      <c r="E346" s="78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7"/>
      <c r="D347" s="77"/>
      <c r="E347" s="78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7"/>
      <c r="D348" s="77"/>
      <c r="E348" s="78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7"/>
      <c r="D349" s="77"/>
      <c r="E349" s="78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7"/>
      <c r="D350" s="77"/>
      <c r="E350" s="78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7"/>
      <c r="D351" s="77"/>
      <c r="E351" s="78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7"/>
      <c r="D352" s="77"/>
      <c r="E352" s="78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7"/>
      <c r="D353" s="77"/>
      <c r="E353" s="78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7"/>
      <c r="D354" s="77"/>
      <c r="E354" s="78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7"/>
      <c r="D355" s="77"/>
      <c r="E355" s="78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7"/>
      <c r="D356" s="77"/>
      <c r="E356" s="78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7"/>
      <c r="D357" s="77"/>
      <c r="E357" s="78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7"/>
      <c r="D358" s="77"/>
      <c r="E358" s="78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7"/>
      <c r="D359" s="77"/>
      <c r="E359" s="78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7"/>
      <c r="D360" s="77"/>
      <c r="E360" s="78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7"/>
      <c r="D361" s="77"/>
      <c r="E361" s="78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7"/>
      <c r="D362" s="77"/>
      <c r="E362" s="78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7"/>
      <c r="D363" s="77"/>
      <c r="E363" s="78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7"/>
      <c r="D364" s="77"/>
      <c r="E364" s="78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7"/>
      <c r="D365" s="77"/>
      <c r="E365" s="78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7"/>
      <c r="D366" s="77"/>
      <c r="E366" s="78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7"/>
      <c r="D367" s="77"/>
      <c r="E367" s="78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7"/>
      <c r="D368" s="77"/>
      <c r="E368" s="78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7"/>
      <c r="D369" s="77"/>
      <c r="E369" s="78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7"/>
      <c r="D370" s="77"/>
      <c r="E370" s="78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7"/>
      <c r="D371" s="77"/>
      <c r="E371" s="78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7"/>
      <c r="D372" s="77"/>
      <c r="E372" s="78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7"/>
      <c r="D373" s="77"/>
      <c r="E373" s="78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7"/>
      <c r="D374" s="77"/>
      <c r="E374" s="78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7"/>
      <c r="D375" s="77"/>
      <c r="E375" s="78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7"/>
      <c r="D376" s="77"/>
      <c r="E376" s="78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7"/>
      <c r="D377" s="77"/>
      <c r="E377" s="78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7"/>
      <c r="D378" s="77"/>
      <c r="E378" s="78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7"/>
      <c r="D379" s="77"/>
      <c r="E379" s="78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7"/>
      <c r="D380" s="77"/>
      <c r="E380" s="78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7"/>
      <c r="D381" s="77"/>
      <c r="E381" s="78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7"/>
      <c r="D382" s="77"/>
      <c r="E382" s="78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7"/>
      <c r="D383" s="77"/>
      <c r="E383" s="78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7"/>
      <c r="D384" s="77"/>
      <c r="E384" s="78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7"/>
      <c r="D385" s="77"/>
      <c r="E385" s="78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7"/>
      <c r="D386" s="77"/>
      <c r="E386" s="78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7"/>
      <c r="D387" s="77"/>
      <c r="E387" s="78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7"/>
      <c r="D388" s="77"/>
      <c r="E388" s="78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7"/>
      <c r="D389" s="77"/>
      <c r="E389" s="78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7"/>
      <c r="D390" s="77"/>
      <c r="E390" s="78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7"/>
      <c r="D391" s="77"/>
      <c r="E391" s="78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7"/>
      <c r="D392" s="77"/>
      <c r="E392" s="78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7"/>
      <c r="D393" s="77"/>
      <c r="E393" s="78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7"/>
      <c r="D394" s="77"/>
      <c r="E394" s="78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7"/>
      <c r="D395" s="77"/>
      <c r="E395" s="78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7"/>
      <c r="D396" s="77"/>
      <c r="E396" s="78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7"/>
      <c r="D397" s="77"/>
      <c r="E397" s="78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7"/>
      <c r="D398" s="77"/>
      <c r="E398" s="78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7"/>
      <c r="D399" s="77"/>
      <c r="E399" s="78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7"/>
      <c r="D400" s="77"/>
      <c r="E400" s="78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7"/>
      <c r="D401" s="77"/>
      <c r="E401" s="78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7"/>
      <c r="D402" s="77"/>
      <c r="E402" s="78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7"/>
      <c r="D403" s="77"/>
      <c r="E403" s="78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7"/>
      <c r="D404" s="77"/>
      <c r="E404" s="78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7"/>
      <c r="D405" s="77"/>
      <c r="E405" s="78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7"/>
      <c r="D406" s="77"/>
      <c r="E406" s="78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7"/>
      <c r="D407" s="77"/>
      <c r="E407" s="78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7"/>
      <c r="D408" s="77"/>
      <c r="E408" s="78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7"/>
      <c r="D409" s="77"/>
      <c r="E409" s="78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7"/>
      <c r="D410" s="77"/>
      <c r="E410" s="78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7"/>
      <c r="D411" s="77"/>
      <c r="E411" s="78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7"/>
      <c r="D412" s="77"/>
      <c r="E412" s="78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7"/>
      <c r="D413" s="77"/>
      <c r="E413" s="78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7"/>
      <c r="D414" s="77"/>
      <c r="E414" s="78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7"/>
      <c r="D415" s="77"/>
      <c r="E415" s="78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7"/>
      <c r="D416" s="77"/>
      <c r="E416" s="78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7"/>
      <c r="D417" s="77"/>
      <c r="E417" s="78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7"/>
      <c r="D418" s="77"/>
      <c r="E418" s="78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7"/>
      <c r="D419" s="77"/>
      <c r="E419" s="78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7"/>
      <c r="D420" s="77"/>
      <c r="E420" s="78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7"/>
      <c r="D421" s="77"/>
      <c r="E421" s="78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7"/>
      <c r="D422" s="77"/>
      <c r="E422" s="78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7"/>
      <c r="D423" s="77"/>
      <c r="E423" s="78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7"/>
      <c r="D424" s="77"/>
      <c r="E424" s="78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7"/>
      <c r="D425" s="77"/>
      <c r="E425" s="78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7"/>
      <c r="D426" s="77"/>
      <c r="E426" s="78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7"/>
      <c r="D427" s="77"/>
      <c r="E427" s="78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7"/>
      <c r="D428" s="77"/>
      <c r="E428" s="78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7"/>
      <c r="D429" s="77"/>
      <c r="E429" s="78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7"/>
      <c r="D430" s="77"/>
      <c r="E430" s="78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7"/>
      <c r="D431" s="77"/>
      <c r="E431" s="78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7"/>
      <c r="D432" s="77"/>
      <c r="E432" s="78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7"/>
      <c r="D433" s="77"/>
      <c r="E433" s="78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7"/>
      <c r="D434" s="77"/>
      <c r="E434" s="78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7"/>
      <c r="D435" s="77"/>
      <c r="E435" s="78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7"/>
      <c r="D436" s="77"/>
      <c r="E436" s="78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7"/>
      <c r="D437" s="77"/>
      <c r="E437" s="78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7"/>
      <c r="D438" s="77"/>
      <c r="E438" s="78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7"/>
      <c r="D439" s="77"/>
      <c r="E439" s="78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7"/>
      <c r="D440" s="77"/>
      <c r="E440" s="78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7"/>
      <c r="D441" s="77"/>
      <c r="E441" s="78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7"/>
      <c r="D442" s="77"/>
      <c r="E442" s="78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7"/>
      <c r="D443" s="77"/>
      <c r="E443" s="78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7"/>
      <c r="D444" s="77"/>
      <c r="E444" s="78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7"/>
      <c r="D445" s="77"/>
      <c r="E445" s="78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7"/>
      <c r="D446" s="77"/>
      <c r="E446" s="78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7"/>
      <c r="D447" s="77"/>
      <c r="E447" s="78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7"/>
      <c r="D448" s="77"/>
      <c r="E448" s="78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7"/>
      <c r="D449" s="77"/>
      <c r="E449" s="78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7"/>
      <c r="D450" s="77"/>
      <c r="E450" s="78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7"/>
      <c r="D451" s="77"/>
      <c r="E451" s="78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7"/>
      <c r="D452" s="77"/>
      <c r="E452" s="78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7"/>
      <c r="D453" s="77"/>
      <c r="E453" s="78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7"/>
      <c r="D454" s="77"/>
      <c r="E454" s="78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7"/>
      <c r="D455" s="77"/>
      <c r="E455" s="78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7"/>
      <c r="D456" s="77"/>
      <c r="E456" s="78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7"/>
      <c r="D457" s="77"/>
      <c r="E457" s="78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7"/>
      <c r="D458" s="77"/>
      <c r="E458" s="78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7"/>
      <c r="D459" s="77"/>
      <c r="E459" s="78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7"/>
      <c r="D460" s="77"/>
      <c r="E460" s="78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7"/>
      <c r="D461" s="77"/>
      <c r="E461" s="78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7"/>
      <c r="D462" s="77"/>
      <c r="E462" s="78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7"/>
      <c r="D463" s="77"/>
      <c r="E463" s="78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7"/>
      <c r="D464" s="77"/>
      <c r="E464" s="78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7"/>
      <c r="D465" s="77"/>
      <c r="E465" s="78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7"/>
      <c r="D466" s="77"/>
      <c r="E466" s="78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7"/>
      <c r="D467" s="77"/>
      <c r="E467" s="78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7"/>
      <c r="D468" s="77"/>
      <c r="E468" s="78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7"/>
      <c r="D469" s="77"/>
      <c r="E469" s="78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7"/>
      <c r="D470" s="77"/>
      <c r="E470" s="78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7"/>
      <c r="D471" s="77"/>
      <c r="E471" s="78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7"/>
      <c r="D472" s="77"/>
      <c r="E472" s="78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7"/>
      <c r="D473" s="77"/>
      <c r="E473" s="78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7"/>
      <c r="D474" s="77"/>
      <c r="E474" s="78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7"/>
      <c r="D475" s="77"/>
      <c r="E475" s="78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7"/>
      <c r="D476" s="77"/>
      <c r="E476" s="78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7"/>
      <c r="D477" s="77"/>
      <c r="E477" s="78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7"/>
      <c r="D478" s="77"/>
      <c r="E478" s="78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7"/>
      <c r="D479" s="77"/>
      <c r="E479" s="78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7"/>
      <c r="D480" s="77"/>
      <c r="E480" s="78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7"/>
      <c r="D481" s="77"/>
      <c r="E481" s="78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7"/>
      <c r="D482" s="77"/>
      <c r="E482" s="78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7"/>
      <c r="D483" s="77"/>
      <c r="E483" s="78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7"/>
      <c r="D484" s="77"/>
      <c r="E484" s="78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7"/>
      <c r="D485" s="77"/>
      <c r="E485" s="78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7"/>
      <c r="D486" s="77"/>
      <c r="E486" s="78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7"/>
      <c r="D487" s="77"/>
      <c r="E487" s="78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7"/>
      <c r="D488" s="77"/>
      <c r="E488" s="78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7"/>
      <c r="D489" s="77"/>
      <c r="E489" s="78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7"/>
      <c r="D490" s="77"/>
      <c r="E490" s="78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7"/>
      <c r="D491" s="77"/>
      <c r="E491" s="78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7"/>
      <c r="D492" s="77"/>
      <c r="E492" s="78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7"/>
      <c r="D493" s="77"/>
      <c r="E493" s="78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7"/>
      <c r="D494" s="77"/>
      <c r="E494" s="78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7"/>
      <c r="D495" s="77"/>
      <c r="E495" s="78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7"/>
      <c r="D496" s="77"/>
      <c r="E496" s="78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7"/>
      <c r="D497" s="77"/>
      <c r="E497" s="78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7"/>
      <c r="D498" s="77"/>
      <c r="E498" s="78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7"/>
      <c r="D499" s="77"/>
      <c r="E499" s="78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7"/>
      <c r="D500" s="77"/>
      <c r="E500" s="78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7"/>
      <c r="D501" s="77"/>
      <c r="E501" s="78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7"/>
      <c r="D502" s="77"/>
      <c r="E502" s="78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7"/>
      <c r="D503" s="77"/>
      <c r="E503" s="78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7"/>
      <c r="D504" s="77"/>
      <c r="E504" s="78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7"/>
      <c r="D505" s="77"/>
      <c r="E505" s="78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7"/>
      <c r="D506" s="77"/>
      <c r="E506" s="78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7"/>
      <c r="D507" s="77"/>
      <c r="E507" s="78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7"/>
      <c r="D508" s="77"/>
      <c r="E508" s="78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7"/>
      <c r="D509" s="77"/>
      <c r="E509" s="78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7"/>
      <c r="D510" s="77"/>
      <c r="E510" s="78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7"/>
      <c r="D511" s="77"/>
      <c r="E511" s="78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7"/>
      <c r="D512" s="77"/>
      <c r="E512" s="78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7"/>
      <c r="D513" s="77"/>
      <c r="E513" s="78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7"/>
      <c r="D514" s="77"/>
      <c r="E514" s="78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7"/>
      <c r="D515" s="77"/>
      <c r="E515" s="78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7"/>
      <c r="D516" s="77"/>
      <c r="E516" s="78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7"/>
      <c r="D517" s="77"/>
      <c r="E517" s="78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7"/>
      <c r="D518" s="77"/>
      <c r="E518" s="78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7"/>
      <c r="D519" s="77"/>
      <c r="E519" s="78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7"/>
      <c r="D520" s="77"/>
      <c r="E520" s="78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7"/>
      <c r="D521" s="77"/>
      <c r="E521" s="78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7"/>
      <c r="D522" s="77"/>
      <c r="E522" s="78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7"/>
      <c r="D523" s="77"/>
      <c r="E523" s="78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7"/>
      <c r="D524" s="77"/>
      <c r="E524" s="78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7"/>
      <c r="D525" s="77"/>
      <c r="E525" s="78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7"/>
      <c r="D526" s="77"/>
      <c r="E526" s="78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7"/>
      <c r="D527" s="77"/>
      <c r="E527" s="78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7"/>
      <c r="D528" s="77"/>
      <c r="E528" s="78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7"/>
      <c r="D529" s="77"/>
      <c r="E529" s="78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7"/>
      <c r="D530" s="77"/>
      <c r="E530" s="78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7"/>
      <c r="D531" s="77"/>
      <c r="E531" s="78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7"/>
      <c r="D532" s="77"/>
      <c r="E532" s="78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7"/>
      <c r="D533" s="77"/>
      <c r="E533" s="78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7"/>
      <c r="D534" s="77"/>
      <c r="E534" s="78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7"/>
      <c r="D535" s="77"/>
      <c r="E535" s="78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7"/>
      <c r="D536" s="77"/>
      <c r="E536" s="78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7"/>
      <c r="D537" s="77"/>
      <c r="E537" s="78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7"/>
      <c r="D538" s="77"/>
      <c r="E538" s="78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7"/>
      <c r="D539" s="77"/>
      <c r="E539" s="78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7"/>
      <c r="D540" s="77"/>
      <c r="E540" s="78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7"/>
      <c r="D541" s="77"/>
      <c r="E541" s="78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7"/>
      <c r="D542" s="77"/>
      <c r="E542" s="78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7"/>
      <c r="D543" s="77"/>
      <c r="E543" s="78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7"/>
      <c r="D544" s="77"/>
      <c r="E544" s="78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7"/>
      <c r="D545" s="77"/>
      <c r="E545" s="78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7"/>
      <c r="D546" s="77"/>
      <c r="E546" s="78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7"/>
      <c r="D547" s="77"/>
      <c r="E547" s="78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7"/>
      <c r="D548" s="77"/>
      <c r="E548" s="78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7"/>
      <c r="D549" s="77"/>
      <c r="E549" s="78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7"/>
      <c r="D550" s="77"/>
      <c r="E550" s="78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7"/>
      <c r="D551" s="77"/>
      <c r="E551" s="78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7"/>
      <c r="D552" s="77"/>
      <c r="E552" s="78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7"/>
      <c r="D553" s="77"/>
      <c r="E553" s="78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7"/>
      <c r="D554" s="77"/>
      <c r="E554" s="78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7"/>
      <c r="D555" s="77"/>
      <c r="E555" s="78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7"/>
      <c r="D556" s="77"/>
      <c r="E556" s="78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7"/>
      <c r="D557" s="77"/>
      <c r="E557" s="78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7"/>
      <c r="D558" s="77"/>
      <c r="E558" s="78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7"/>
      <c r="D559" s="77"/>
      <c r="E559" s="78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7"/>
      <c r="D560" s="77"/>
      <c r="E560" s="78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7"/>
      <c r="D561" s="77"/>
      <c r="E561" s="78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7"/>
      <c r="D562" s="77"/>
      <c r="E562" s="78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7"/>
      <c r="D563" s="77"/>
      <c r="E563" s="78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7"/>
      <c r="D564" s="77"/>
      <c r="E564" s="78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7"/>
      <c r="D565" s="77"/>
      <c r="E565" s="78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7"/>
      <c r="D566" s="77"/>
      <c r="E566" s="78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7"/>
      <c r="D567" s="77"/>
      <c r="E567" s="78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7"/>
      <c r="D568" s="77"/>
      <c r="E568" s="78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7"/>
      <c r="D569" s="77"/>
      <c r="E569" s="78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7"/>
      <c r="D570" s="77"/>
      <c r="E570" s="78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7"/>
      <c r="D571" s="77"/>
      <c r="E571" s="78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7"/>
      <c r="D572" s="77"/>
      <c r="E572" s="78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7"/>
      <c r="D573" s="77"/>
      <c r="E573" s="78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7"/>
      <c r="D574" s="77"/>
      <c r="E574" s="78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7"/>
      <c r="D575" s="77"/>
      <c r="E575" s="78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7"/>
      <c r="D576" s="77"/>
      <c r="E576" s="78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7"/>
      <c r="D577" s="77"/>
      <c r="E577" s="78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7"/>
      <c r="D578" s="77"/>
      <c r="E578" s="78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7"/>
      <c r="D579" s="77"/>
      <c r="E579" s="78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7"/>
      <c r="D580" s="77"/>
      <c r="E580" s="78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7"/>
      <c r="D581" s="77"/>
      <c r="E581" s="78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7"/>
      <c r="D582" s="77"/>
      <c r="E582" s="78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7"/>
      <c r="D583" s="77"/>
      <c r="E583" s="78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7"/>
      <c r="D584" s="77"/>
      <c r="E584" s="78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7"/>
      <c r="D585" s="77"/>
      <c r="E585" s="78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7"/>
      <c r="D586" s="77"/>
      <c r="E586" s="78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7"/>
      <c r="D587" s="77"/>
      <c r="E587" s="78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7"/>
      <c r="D588" s="77"/>
      <c r="E588" s="78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7"/>
      <c r="D589" s="77"/>
      <c r="E589" s="78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7"/>
      <c r="D590" s="77"/>
      <c r="E590" s="78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7"/>
      <c r="D591" s="77"/>
      <c r="E591" s="78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7"/>
      <c r="D592" s="77"/>
      <c r="E592" s="78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7"/>
      <c r="D593" s="77"/>
      <c r="E593" s="78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7"/>
      <c r="D594" s="77"/>
      <c r="E594" s="78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7"/>
      <c r="D595" s="77"/>
      <c r="E595" s="78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7"/>
      <c r="D596" s="77"/>
      <c r="E596" s="78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7"/>
      <c r="D597" s="77"/>
      <c r="E597" s="78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7"/>
      <c r="D598" s="77"/>
      <c r="E598" s="78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7"/>
      <c r="D599" s="77"/>
      <c r="E599" s="78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7"/>
      <c r="D600" s="77"/>
      <c r="E600" s="78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7"/>
      <c r="D601" s="77"/>
      <c r="E601" s="78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7"/>
      <c r="D602" s="77"/>
      <c r="E602" s="78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7"/>
      <c r="D603" s="77"/>
      <c r="E603" s="78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7"/>
      <c r="D604" s="77"/>
      <c r="E604" s="78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7"/>
      <c r="D605" s="77"/>
      <c r="E605" s="78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7"/>
      <c r="D606" s="77"/>
      <c r="E606" s="78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7"/>
      <c r="D607" s="77"/>
      <c r="E607" s="78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7"/>
      <c r="D608" s="77"/>
      <c r="E608" s="78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7"/>
      <c r="D609" s="77"/>
      <c r="E609" s="78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7"/>
      <c r="D610" s="77"/>
      <c r="E610" s="78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7"/>
      <c r="D611" s="77"/>
      <c r="E611" s="78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7"/>
      <c r="D612" s="77"/>
      <c r="E612" s="78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7"/>
      <c r="D613" s="77"/>
      <c r="E613" s="78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7"/>
      <c r="D614" s="77"/>
      <c r="E614" s="78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7"/>
      <c r="D615" s="77"/>
      <c r="E615" s="78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7"/>
      <c r="D616" s="77"/>
      <c r="E616" s="78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7"/>
      <c r="D617" s="77"/>
      <c r="E617" s="78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7"/>
      <c r="D618" s="77"/>
      <c r="E618" s="78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7"/>
      <c r="D619" s="77"/>
      <c r="E619" s="78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7"/>
      <c r="D620" s="77"/>
      <c r="E620" s="78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7"/>
      <c r="D621" s="77"/>
      <c r="E621" s="78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7"/>
      <c r="D622" s="77"/>
      <c r="E622" s="78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7"/>
      <c r="D623" s="77"/>
      <c r="E623" s="78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7"/>
      <c r="D624" s="77"/>
      <c r="E624" s="78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7"/>
      <c r="D625" s="77"/>
      <c r="E625" s="78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7"/>
      <c r="D626" s="77"/>
      <c r="E626" s="78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7"/>
      <c r="D627" s="77"/>
      <c r="E627" s="78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7"/>
      <c r="D628" s="77"/>
      <c r="E628" s="78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7"/>
      <c r="D629" s="77"/>
      <c r="E629" s="78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7"/>
      <c r="D630" s="77"/>
      <c r="E630" s="78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7"/>
      <c r="D631" s="77"/>
      <c r="E631" s="78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7"/>
      <c r="D632" s="77"/>
      <c r="E632" s="78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7"/>
      <c r="D633" s="77"/>
      <c r="E633" s="78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7"/>
      <c r="D634" s="77"/>
      <c r="E634" s="78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7"/>
      <c r="D635" s="77"/>
      <c r="E635" s="78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7"/>
      <c r="D636" s="77"/>
      <c r="E636" s="78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7"/>
      <c r="D637" s="77"/>
      <c r="E637" s="78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7"/>
      <c r="D638" s="77"/>
      <c r="E638" s="78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7"/>
      <c r="D639" s="77"/>
      <c r="E639" s="78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7"/>
      <c r="D640" s="77"/>
      <c r="E640" s="78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7"/>
      <c r="D641" s="77"/>
      <c r="E641" s="78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7"/>
      <c r="D642" s="77"/>
      <c r="E642" s="78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7"/>
      <c r="D643" s="77"/>
      <c r="E643" s="78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7"/>
      <c r="D644" s="77"/>
      <c r="E644" s="78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7"/>
      <c r="D645" s="77"/>
      <c r="E645" s="78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7"/>
      <c r="D646" s="77"/>
      <c r="E646" s="78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7"/>
      <c r="D647" s="77"/>
      <c r="E647" s="78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7"/>
      <c r="D648" s="77"/>
      <c r="E648" s="78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7"/>
      <c r="D649" s="77"/>
      <c r="E649" s="78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7"/>
      <c r="D650" s="77"/>
      <c r="E650" s="78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7"/>
      <c r="D651" s="77"/>
      <c r="E651" s="78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7"/>
      <c r="D652" s="77"/>
      <c r="E652" s="78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7"/>
      <c r="D653" s="77"/>
      <c r="E653" s="78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7"/>
      <c r="D654" s="77"/>
      <c r="E654" s="78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7"/>
      <c r="D655" s="77"/>
      <c r="E655" s="78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7"/>
      <c r="D656" s="77"/>
      <c r="E656" s="78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7"/>
      <c r="D657" s="77"/>
      <c r="E657" s="78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7"/>
      <c r="D658" s="77"/>
      <c r="E658" s="78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7"/>
      <c r="D659" s="77"/>
      <c r="E659" s="78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7"/>
      <c r="D660" s="77"/>
      <c r="E660" s="78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7"/>
      <c r="D661" s="77"/>
      <c r="E661" s="78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7"/>
      <c r="D662" s="77"/>
      <c r="E662" s="78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7"/>
      <c r="D663" s="77"/>
      <c r="E663" s="78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7"/>
      <c r="D664" s="77"/>
      <c r="E664" s="78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7"/>
      <c r="D665" s="77"/>
      <c r="E665" s="78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7"/>
      <c r="D666" s="77"/>
      <c r="E666" s="78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7"/>
      <c r="D667" s="77"/>
      <c r="E667" s="78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7"/>
      <c r="D668" s="77"/>
      <c r="E668" s="78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7"/>
      <c r="D669" s="77"/>
      <c r="E669" s="78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7"/>
      <c r="D670" s="77"/>
      <c r="E670" s="78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7"/>
      <c r="D671" s="77"/>
      <c r="E671" s="78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7"/>
      <c r="D672" s="77"/>
      <c r="E672" s="78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7"/>
      <c r="D673" s="77"/>
      <c r="E673" s="78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7"/>
      <c r="D674" s="77"/>
      <c r="E674" s="78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7"/>
      <c r="D675" s="77"/>
      <c r="E675" s="78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7"/>
      <c r="D676" s="77"/>
      <c r="E676" s="78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7"/>
      <c r="D677" s="77"/>
      <c r="E677" s="78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7"/>
      <c r="D678" s="77"/>
      <c r="E678" s="78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7"/>
      <c r="D679" s="77"/>
      <c r="E679" s="78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7"/>
      <c r="D680" s="77"/>
      <c r="E680" s="78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7"/>
      <c r="D681" s="77"/>
      <c r="E681" s="78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7"/>
      <c r="D682" s="77"/>
      <c r="E682" s="78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7"/>
      <c r="D683" s="77"/>
      <c r="E683" s="78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7"/>
      <c r="D684" s="77"/>
      <c r="E684" s="78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7"/>
      <c r="D685" s="77"/>
      <c r="E685" s="78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7"/>
      <c r="D686" s="77"/>
      <c r="E686" s="78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7"/>
      <c r="D687" s="77"/>
      <c r="E687" s="78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7"/>
      <c r="D688" s="77"/>
      <c r="E688" s="78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7"/>
      <c r="D689" s="77"/>
      <c r="E689" s="78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7"/>
      <c r="D690" s="77"/>
      <c r="E690" s="78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7"/>
      <c r="D691" s="77"/>
      <c r="E691" s="78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7"/>
      <c r="D692" s="77"/>
      <c r="E692" s="78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7"/>
      <c r="D693" s="77"/>
      <c r="E693" s="78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7"/>
      <c r="D694" s="77"/>
      <c r="E694" s="78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7"/>
      <c r="D695" s="77"/>
      <c r="E695" s="78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7"/>
      <c r="D696" s="77"/>
      <c r="E696" s="78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7"/>
      <c r="D697" s="77"/>
      <c r="E697" s="78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7"/>
      <c r="D698" s="77"/>
      <c r="E698" s="78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7"/>
      <c r="D699" s="77"/>
      <c r="E699" s="78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7"/>
      <c r="D700" s="77"/>
      <c r="E700" s="78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7"/>
      <c r="D701" s="77"/>
      <c r="E701" s="78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7"/>
      <c r="D702" s="77"/>
      <c r="E702" s="78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7"/>
      <c r="D703" s="77"/>
      <c r="E703" s="78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7"/>
      <c r="D704" s="77"/>
      <c r="E704" s="78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7"/>
      <c r="D705" s="77"/>
      <c r="E705" s="78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7"/>
      <c r="D706" s="77"/>
      <c r="E706" s="78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7"/>
      <c r="D707" s="77"/>
      <c r="E707" s="78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7"/>
      <c r="D708" s="77"/>
      <c r="E708" s="78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7"/>
      <c r="D709" s="77"/>
      <c r="E709" s="78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7"/>
      <c r="D710" s="77"/>
      <c r="E710" s="78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7"/>
      <c r="D711" s="77"/>
      <c r="E711" s="78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7"/>
      <c r="D712" s="77"/>
      <c r="E712" s="78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7"/>
      <c r="D713" s="77"/>
      <c r="E713" s="78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7"/>
      <c r="D714" s="77"/>
      <c r="E714" s="78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7"/>
      <c r="D715" s="77"/>
      <c r="E715" s="78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7"/>
      <c r="D716" s="77"/>
      <c r="E716" s="78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7"/>
      <c r="D717" s="77"/>
      <c r="E717" s="78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7"/>
      <c r="D718" s="77"/>
      <c r="E718" s="78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7"/>
      <c r="D719" s="77"/>
      <c r="E719" s="78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7"/>
      <c r="D720" s="77"/>
      <c r="E720" s="78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7"/>
      <c r="D721" s="77"/>
      <c r="E721" s="78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7"/>
      <c r="D722" s="77"/>
      <c r="E722" s="78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7"/>
      <c r="D723" s="77"/>
      <c r="E723" s="78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7"/>
      <c r="D724" s="77"/>
      <c r="E724" s="78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7"/>
      <c r="D725" s="77"/>
      <c r="E725" s="78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7"/>
      <c r="D726" s="77"/>
      <c r="E726" s="78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7"/>
      <c r="D727" s="77"/>
      <c r="E727" s="78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7"/>
      <c r="D728" s="77"/>
      <c r="E728" s="78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7"/>
      <c r="D729" s="77"/>
      <c r="E729" s="78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7"/>
      <c r="D730" s="77"/>
      <c r="E730" s="78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7"/>
      <c r="D731" s="77"/>
      <c r="E731" s="78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7"/>
      <c r="D732" s="77"/>
      <c r="E732" s="78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7"/>
      <c r="D733" s="77"/>
      <c r="E733" s="78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7"/>
      <c r="D734" s="77"/>
      <c r="E734" s="78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7"/>
      <c r="D735" s="77"/>
      <c r="E735" s="78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7"/>
      <c r="D736" s="77"/>
      <c r="E736" s="78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7"/>
      <c r="D737" s="77"/>
      <c r="E737" s="78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7"/>
      <c r="D738" s="77"/>
      <c r="E738" s="78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7"/>
      <c r="D739" s="77"/>
      <c r="E739" s="78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7"/>
      <c r="D740" s="77"/>
      <c r="E740" s="78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7"/>
      <c r="D741" s="77"/>
      <c r="E741" s="78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7"/>
      <c r="D742" s="77"/>
      <c r="E742" s="78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7"/>
      <c r="D743" s="77"/>
      <c r="E743" s="78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7"/>
      <c r="D744" s="77"/>
      <c r="E744" s="78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7"/>
      <c r="D745" s="77"/>
      <c r="E745" s="78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7"/>
      <c r="D746" s="77"/>
      <c r="E746" s="78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7"/>
      <c r="D747" s="77"/>
      <c r="E747" s="78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7"/>
      <c r="D748" s="77"/>
      <c r="E748" s="78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7"/>
      <c r="D749" s="77"/>
      <c r="E749" s="78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7"/>
      <c r="D750" s="77"/>
      <c r="E750" s="78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7"/>
      <c r="D751" s="77"/>
      <c r="E751" s="78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7"/>
      <c r="D752" s="77"/>
      <c r="E752" s="78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7"/>
      <c r="D753" s="77"/>
      <c r="E753" s="78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7"/>
      <c r="D754" s="77"/>
      <c r="E754" s="78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7"/>
      <c r="D755" s="77"/>
      <c r="E755" s="78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7"/>
      <c r="D756" s="77"/>
      <c r="E756" s="78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7"/>
      <c r="D757" s="77"/>
      <c r="E757" s="78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7"/>
      <c r="D758" s="77"/>
      <c r="E758" s="78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7"/>
      <c r="D759" s="77"/>
      <c r="E759" s="78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7"/>
      <c r="D760" s="77"/>
      <c r="E760" s="78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7"/>
      <c r="D761" s="77"/>
      <c r="E761" s="78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7"/>
      <c r="D762" s="77"/>
      <c r="E762" s="78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7"/>
      <c r="D763" s="77"/>
      <c r="E763" s="78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7"/>
      <c r="D764" s="77"/>
      <c r="E764" s="78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7"/>
      <c r="D765" s="77"/>
      <c r="E765" s="78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7"/>
      <c r="D766" s="77"/>
      <c r="E766" s="78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7"/>
      <c r="D767" s="77"/>
      <c r="E767" s="78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7"/>
      <c r="D768" s="77"/>
      <c r="E768" s="78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7"/>
      <c r="D769" s="77"/>
      <c r="E769" s="78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7"/>
      <c r="D770" s="77"/>
      <c r="E770" s="78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7"/>
      <c r="D771" s="77"/>
      <c r="E771" s="78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7"/>
      <c r="D772" s="77"/>
      <c r="E772" s="78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7"/>
      <c r="D773" s="77"/>
      <c r="E773" s="78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7"/>
      <c r="D774" s="77"/>
      <c r="E774" s="78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7"/>
      <c r="D775" s="77"/>
      <c r="E775" s="78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7"/>
      <c r="D776" s="77"/>
      <c r="E776" s="78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7"/>
      <c r="D777" s="77"/>
      <c r="E777" s="78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7"/>
      <c r="D778" s="77"/>
      <c r="E778" s="78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7"/>
      <c r="D779" s="77"/>
      <c r="E779" s="78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7"/>
      <c r="D780" s="77"/>
      <c r="E780" s="78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7"/>
      <c r="D781" s="77"/>
      <c r="E781" s="78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7"/>
      <c r="D782" s="77"/>
      <c r="E782" s="78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7"/>
      <c r="D783" s="77"/>
      <c r="E783" s="78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7"/>
      <c r="D784" s="77"/>
      <c r="E784" s="78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7"/>
      <c r="D785" s="77"/>
      <c r="E785" s="78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7"/>
      <c r="D786" s="77"/>
      <c r="E786" s="78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7"/>
      <c r="D787" s="77"/>
      <c r="E787" s="78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7"/>
      <c r="D788" s="77"/>
      <c r="E788" s="78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7"/>
      <c r="D789" s="77"/>
      <c r="E789" s="78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7"/>
      <c r="D790" s="77"/>
      <c r="E790" s="78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7"/>
      <c r="D791" s="77"/>
      <c r="E791" s="78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7"/>
      <c r="D792" s="77"/>
      <c r="E792" s="78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7"/>
      <c r="D793" s="77"/>
      <c r="E793" s="78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7"/>
      <c r="D794" s="77"/>
      <c r="E794" s="78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7"/>
      <c r="D795" s="77"/>
      <c r="E795" s="78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7"/>
      <c r="D796" s="77"/>
      <c r="E796" s="78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7"/>
      <c r="D797" s="77"/>
      <c r="E797" s="78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7"/>
      <c r="D798" s="77"/>
      <c r="E798" s="78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7"/>
      <c r="D799" s="77"/>
      <c r="E799" s="78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7"/>
      <c r="D800" s="77"/>
      <c r="E800" s="78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7"/>
      <c r="D801" s="77"/>
      <c r="E801" s="78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7"/>
      <c r="D802" s="77"/>
      <c r="E802" s="78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7"/>
      <c r="D803" s="77"/>
      <c r="E803" s="78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7"/>
      <c r="D804" s="77"/>
      <c r="E804" s="78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7"/>
      <c r="D805" s="77"/>
      <c r="E805" s="78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7"/>
      <c r="D806" s="77"/>
      <c r="E806" s="78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7"/>
      <c r="D807" s="77"/>
      <c r="E807" s="78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7"/>
      <c r="D808" s="77"/>
      <c r="E808" s="78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7"/>
      <c r="D809" s="77"/>
      <c r="E809" s="78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7"/>
      <c r="D810" s="77"/>
      <c r="E810" s="78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7"/>
      <c r="D811" s="77"/>
      <c r="E811" s="78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7"/>
      <c r="D812" s="77"/>
      <c r="E812" s="78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7"/>
      <c r="D813" s="77"/>
      <c r="E813" s="78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7"/>
      <c r="D814" s="77"/>
      <c r="E814" s="78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7"/>
      <c r="D815" s="77"/>
      <c r="E815" s="78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7"/>
      <c r="D816" s="77"/>
      <c r="E816" s="78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7"/>
      <c r="D817" s="77"/>
      <c r="E817" s="78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7"/>
      <c r="D818" s="77"/>
      <c r="E818" s="78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7"/>
      <c r="D819" s="77"/>
      <c r="E819" s="78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7"/>
      <c r="D820" s="77"/>
      <c r="E820" s="78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7"/>
      <c r="D821" s="77"/>
      <c r="E821" s="78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7"/>
      <c r="D822" s="77"/>
      <c r="E822" s="78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7"/>
      <c r="D823" s="77"/>
      <c r="E823" s="78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7"/>
      <c r="D824" s="77"/>
      <c r="E824" s="78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7"/>
      <c r="D825" s="77"/>
      <c r="E825" s="78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7"/>
      <c r="D826" s="77"/>
      <c r="E826" s="78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7"/>
      <c r="D827" s="77"/>
      <c r="E827" s="78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7"/>
      <c r="D828" s="77"/>
      <c r="E828" s="78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7"/>
      <c r="D829" s="77"/>
      <c r="E829" s="78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7"/>
      <c r="D830" s="77"/>
      <c r="E830" s="78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7"/>
      <c r="D831" s="77"/>
      <c r="E831" s="78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7"/>
      <c r="D832" s="77"/>
      <c r="E832" s="78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7"/>
      <c r="D833" s="77"/>
      <c r="E833" s="78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7"/>
      <c r="D834" s="77"/>
      <c r="E834" s="78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7"/>
      <c r="D835" s="77"/>
      <c r="E835" s="78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7"/>
      <c r="D836" s="77"/>
      <c r="E836" s="78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7"/>
      <c r="D837" s="77"/>
      <c r="E837" s="78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7"/>
      <c r="D838" s="77"/>
      <c r="E838" s="78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7"/>
      <c r="D839" s="77"/>
      <c r="E839" s="78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7"/>
      <c r="D840" s="77"/>
      <c r="E840" s="78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7"/>
      <c r="D841" s="77"/>
      <c r="E841" s="78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7"/>
      <c r="D842" s="77"/>
      <c r="E842" s="78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7"/>
      <c r="D843" s="77"/>
      <c r="E843" s="78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7"/>
      <c r="D844" s="77"/>
      <c r="E844" s="78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7"/>
      <c r="D845" s="77"/>
      <c r="E845" s="78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7"/>
      <c r="D846" s="77"/>
      <c r="E846" s="78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7"/>
      <c r="D847" s="77"/>
      <c r="E847" s="78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7"/>
      <c r="D848" s="77"/>
      <c r="E848" s="78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7"/>
      <c r="D849" s="77"/>
      <c r="E849" s="78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7"/>
      <c r="D850" s="77"/>
      <c r="E850" s="78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7"/>
      <c r="D851" s="77"/>
      <c r="E851" s="78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7"/>
      <c r="D852" s="77"/>
      <c r="E852" s="78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7"/>
      <c r="D853" s="77"/>
      <c r="E853" s="78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7"/>
      <c r="D854" s="77"/>
      <c r="E854" s="78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7"/>
      <c r="D855" s="77"/>
      <c r="E855" s="78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7"/>
      <c r="D856" s="77"/>
      <c r="E856" s="78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7"/>
      <c r="D857" s="77"/>
      <c r="E857" s="78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7"/>
      <c r="D858" s="77"/>
      <c r="E858" s="78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7"/>
      <c r="D859" s="77"/>
      <c r="E859" s="78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7"/>
      <c r="D860" s="77"/>
      <c r="E860" s="78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7"/>
      <c r="D861" s="77"/>
      <c r="E861" s="78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7"/>
      <c r="D862" s="77"/>
      <c r="E862" s="78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7"/>
      <c r="D863" s="77"/>
      <c r="E863" s="78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7"/>
      <c r="D864" s="77"/>
      <c r="E864" s="78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7"/>
      <c r="D865" s="77"/>
      <c r="E865" s="78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7"/>
      <c r="D866" s="77"/>
      <c r="E866" s="78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7"/>
      <c r="D867" s="77"/>
      <c r="E867" s="78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7"/>
      <c r="D868" s="77"/>
      <c r="E868" s="78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7"/>
      <c r="D869" s="77"/>
      <c r="E869" s="78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7"/>
      <c r="D870" s="77"/>
      <c r="E870" s="78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7"/>
      <c r="D871" s="77"/>
      <c r="E871" s="78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7"/>
      <c r="D872" s="77"/>
      <c r="E872" s="78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7"/>
      <c r="D873" s="77"/>
      <c r="E873" s="78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7"/>
      <c r="D874" s="77"/>
      <c r="E874" s="78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7"/>
      <c r="D875" s="77"/>
      <c r="E875" s="78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7"/>
      <c r="D876" s="77"/>
      <c r="E876" s="78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7"/>
      <c r="D877" s="77"/>
      <c r="E877" s="78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7"/>
      <c r="D878" s="77"/>
      <c r="E878" s="78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7"/>
      <c r="D879" s="77"/>
      <c r="E879" s="78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7"/>
      <c r="D880" s="77"/>
      <c r="E880" s="78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7"/>
      <c r="D881" s="77"/>
      <c r="E881" s="78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7"/>
      <c r="D882" s="77"/>
      <c r="E882" s="78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7"/>
      <c r="D883" s="77"/>
      <c r="E883" s="78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7"/>
      <c r="D884" s="77"/>
      <c r="E884" s="78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7"/>
      <c r="D885" s="77"/>
      <c r="E885" s="78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7"/>
      <c r="D886" s="77"/>
      <c r="E886" s="78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7"/>
      <c r="D887" s="77"/>
      <c r="E887" s="78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7"/>
      <c r="D888" s="77"/>
      <c r="E888" s="78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7"/>
      <c r="D889" s="77"/>
      <c r="E889" s="78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7"/>
      <c r="D890" s="77"/>
      <c r="E890" s="78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7"/>
      <c r="D891" s="77"/>
      <c r="E891" s="78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7"/>
      <c r="D892" s="77"/>
      <c r="E892" s="78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7"/>
      <c r="D893" s="77"/>
      <c r="E893" s="78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7"/>
      <c r="D894" s="77"/>
      <c r="E894" s="78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7"/>
      <c r="D895" s="77"/>
      <c r="E895" s="78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7"/>
      <c r="D896" s="77"/>
      <c r="E896" s="78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7"/>
      <c r="D897" s="77"/>
      <c r="E897" s="78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7"/>
      <c r="D898" s="77"/>
      <c r="E898" s="78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7"/>
      <c r="D899" s="77"/>
      <c r="E899" s="78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7"/>
      <c r="D900" s="77"/>
      <c r="E900" s="78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7"/>
      <c r="D901" s="77"/>
      <c r="E901" s="78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7"/>
      <c r="D902" s="77"/>
      <c r="E902" s="78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7"/>
      <c r="D903" s="77"/>
      <c r="E903" s="78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7"/>
      <c r="D904" s="77"/>
      <c r="E904" s="78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7"/>
      <c r="D905" s="77"/>
      <c r="E905" s="78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7"/>
      <c r="D906" s="77"/>
      <c r="E906" s="78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7"/>
      <c r="D907" s="77"/>
      <c r="E907" s="78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7"/>
      <c r="D908" s="77"/>
      <c r="E908" s="78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7"/>
      <c r="D909" s="77"/>
      <c r="E909" s="78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7"/>
      <c r="D910" s="77"/>
      <c r="E910" s="78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7"/>
      <c r="D911" s="77"/>
      <c r="E911" s="78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7"/>
      <c r="D912" s="77"/>
      <c r="E912" s="78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7"/>
      <c r="D913" s="77"/>
      <c r="E913" s="78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7"/>
      <c r="D914" s="77"/>
      <c r="E914" s="78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7"/>
      <c r="D915" s="77"/>
      <c r="E915" s="78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7"/>
      <c r="D916" s="77"/>
      <c r="E916" s="78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7"/>
      <c r="D917" s="77"/>
      <c r="E917" s="78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7"/>
      <c r="D918" s="77"/>
      <c r="E918" s="78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7"/>
      <c r="D919" s="77"/>
      <c r="E919" s="78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7"/>
      <c r="D920" s="77"/>
      <c r="E920" s="78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7"/>
      <c r="D921" s="77"/>
      <c r="E921" s="78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7"/>
      <c r="D922" s="77"/>
      <c r="E922" s="78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7"/>
      <c r="D923" s="77"/>
      <c r="E923" s="78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7"/>
      <c r="D924" s="77"/>
      <c r="E924" s="78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7"/>
      <c r="D925" s="77"/>
      <c r="E925" s="78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7"/>
      <c r="D926" s="77"/>
      <c r="E926" s="78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7"/>
      <c r="D927" s="77"/>
      <c r="E927" s="78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7"/>
      <c r="D928" s="77"/>
      <c r="E928" s="78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7"/>
      <c r="D929" s="77"/>
      <c r="E929" s="78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7"/>
      <c r="D930" s="77"/>
      <c r="E930" s="78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7"/>
      <c r="D931" s="77"/>
      <c r="E931" s="78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7"/>
      <c r="D932" s="77"/>
      <c r="E932" s="78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7"/>
      <c r="D933" s="77"/>
      <c r="E933" s="78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7"/>
      <c r="D934" s="77"/>
      <c r="E934" s="78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7"/>
      <c r="D935" s="77"/>
      <c r="E935" s="78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7"/>
      <c r="D936" s="77"/>
      <c r="E936" s="78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7"/>
      <c r="D937" s="77"/>
      <c r="E937" s="78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7"/>
      <c r="D938" s="77"/>
      <c r="E938" s="78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7"/>
      <c r="D939" s="77"/>
      <c r="E939" s="78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7"/>
      <c r="D940" s="77"/>
      <c r="E940" s="78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7"/>
      <c r="D941" s="77"/>
      <c r="E941" s="78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7"/>
      <c r="D942" s="77"/>
      <c r="E942" s="78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7"/>
      <c r="D943" s="77"/>
      <c r="E943" s="78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7"/>
      <c r="D944" s="77"/>
      <c r="E944" s="78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7"/>
      <c r="D945" s="77"/>
      <c r="E945" s="78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7"/>
      <c r="D946" s="77"/>
      <c r="E946" s="78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7"/>
      <c r="D947" s="77"/>
      <c r="E947" s="78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7"/>
      <c r="D948" s="77"/>
      <c r="E948" s="78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7"/>
      <c r="D949" s="77"/>
      <c r="E949" s="78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7"/>
      <c r="D950" s="77"/>
      <c r="E950" s="78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7"/>
      <c r="D951" s="77"/>
      <c r="E951" s="78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7"/>
      <c r="D952" s="77"/>
      <c r="E952" s="78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7"/>
      <c r="D953" s="77"/>
      <c r="E953" s="78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7"/>
      <c r="D954" s="77"/>
      <c r="E954" s="78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7"/>
      <c r="D955" s="77"/>
      <c r="E955" s="78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7"/>
      <c r="D956" s="77"/>
      <c r="E956" s="78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7"/>
      <c r="D957" s="77"/>
      <c r="E957" s="78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7"/>
      <c r="D958" s="77"/>
      <c r="E958" s="78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7"/>
      <c r="D959" s="77"/>
      <c r="E959" s="78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7"/>
      <c r="D960" s="77"/>
      <c r="E960" s="78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7"/>
      <c r="D961" s="77"/>
      <c r="E961" s="78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7"/>
      <c r="D962" s="77"/>
      <c r="E962" s="78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7"/>
      <c r="D963" s="77"/>
      <c r="E963" s="78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7"/>
      <c r="D964" s="77"/>
      <c r="E964" s="78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7"/>
      <c r="D965" s="77"/>
      <c r="E965" s="78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7"/>
      <c r="D966" s="77"/>
      <c r="E966" s="78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7"/>
      <c r="D967" s="77"/>
      <c r="E967" s="78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7"/>
      <c r="D968" s="77"/>
      <c r="E968" s="78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7"/>
      <c r="D969" s="77"/>
      <c r="E969" s="78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7"/>
      <c r="D970" s="77"/>
      <c r="E970" s="78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7"/>
      <c r="D971" s="77"/>
      <c r="E971" s="78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7"/>
      <c r="D972" s="77"/>
      <c r="E972" s="78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7"/>
      <c r="D973" s="77"/>
      <c r="E973" s="78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7"/>
      <c r="D974" s="77"/>
      <c r="E974" s="78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7"/>
      <c r="D975" s="77"/>
      <c r="E975" s="78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7"/>
      <c r="D976" s="77"/>
      <c r="E976" s="78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7"/>
      <c r="D977" s="77"/>
      <c r="E977" s="78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7"/>
      <c r="D978" s="77"/>
      <c r="E978" s="78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7"/>
      <c r="D979" s="77"/>
      <c r="E979" s="78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7"/>
      <c r="D980" s="77"/>
      <c r="E980" s="78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7"/>
      <c r="D981" s="77"/>
      <c r="E981" s="78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7"/>
      <c r="D982" s="77"/>
      <c r="E982" s="78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7"/>
      <c r="D983" s="77"/>
      <c r="E983" s="78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7"/>
      <c r="D984" s="77"/>
      <c r="E984" s="78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7"/>
      <c r="D985" s="77"/>
      <c r="E985" s="78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7"/>
      <c r="D986" s="77"/>
      <c r="E986" s="78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7"/>
      <c r="D987" s="77"/>
      <c r="E987" s="78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7"/>
      <c r="D988" s="77"/>
      <c r="E988" s="78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7"/>
      <c r="D989" s="77"/>
      <c r="E989" s="78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7"/>
      <c r="D990" s="77"/>
      <c r="E990" s="78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</sheetData>
  <hyperlinks>
    <hyperlink r:id="rId1" ref="A9"/>
    <hyperlink r:id="rId2" ref="A10"/>
    <hyperlink r:id="rId3" ref="A11"/>
    <hyperlink r:id="rId4" ref="A13"/>
    <hyperlink r:id="rId5" ref="A14"/>
    <hyperlink r:id="rId6" ref="A15"/>
    <hyperlink r:id="rId7" ref="A16"/>
    <hyperlink r:id="rId8" ref="A17"/>
    <hyperlink r:id="rId9" ref="A18"/>
    <hyperlink r:id="rId10" ref="A19"/>
    <hyperlink r:id="rId11" ref="A20"/>
    <hyperlink r:id="rId12" ref="A21"/>
    <hyperlink r:id="rId13" ref="A22"/>
    <hyperlink r:id="rId14" ref="A23"/>
    <hyperlink r:id="rId15" ref="A24"/>
    <hyperlink r:id="rId16" ref="A26"/>
    <hyperlink r:id="rId17" ref="A27"/>
    <hyperlink r:id="rId18" ref="A28"/>
    <hyperlink r:id="rId19" ref="A29"/>
    <hyperlink r:id="rId20" ref="A30"/>
    <hyperlink r:id="rId21" ref="A31"/>
    <hyperlink r:id="rId22" ref="A33"/>
    <hyperlink r:id="rId23" ref="A34"/>
    <hyperlink r:id="rId24" ref="A38"/>
    <hyperlink r:id="rId25" ref="A39"/>
    <hyperlink r:id="rId26" ref="A41"/>
    <hyperlink r:id="rId27" ref="A42"/>
    <hyperlink r:id="rId28" ref="A43"/>
    <hyperlink r:id="rId29" ref="A44"/>
    <hyperlink r:id="rId30" ref="A45"/>
    <hyperlink r:id="rId31" ref="A46"/>
    <hyperlink r:id="rId32" ref="A47"/>
    <hyperlink r:id="rId33" ref="A48"/>
    <hyperlink r:id="rId34" ref="A49"/>
    <hyperlink r:id="rId35" ref="A50"/>
    <hyperlink r:id="rId36" ref="A51"/>
    <hyperlink r:id="rId37" ref="A52"/>
    <hyperlink r:id="rId38" ref="A53"/>
    <hyperlink r:id="rId39" ref="A54"/>
    <hyperlink r:id="rId40" ref="A55"/>
    <hyperlink r:id="rId41" ref="A56"/>
    <hyperlink r:id="rId42" ref="A57"/>
    <hyperlink r:id="rId43" ref="A58"/>
    <hyperlink r:id="rId44" ref="A59"/>
    <hyperlink r:id="rId45" ref="A60"/>
    <hyperlink r:id="rId46" ref="A61"/>
    <hyperlink r:id="rId47" ref="A62"/>
    <hyperlink r:id="rId48" ref="A63"/>
    <hyperlink r:id="rId49" ref="A64"/>
    <hyperlink r:id="rId50" ref="A65"/>
    <hyperlink r:id="rId51" ref="A66"/>
  </hyperlinks>
  <drawing r:id="rId52"/>
</worksheet>
</file>